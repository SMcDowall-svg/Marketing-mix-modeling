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hafelmain/Documents/case_study_submission/"/>
    </mc:Choice>
  </mc:AlternateContent>
  <xr:revisionPtr revIDLastSave="0" documentId="13_ncr:1_{9D07F187-9965-7E48-9255-A40D24DE0DA2}" xr6:coauthVersionLast="47" xr6:coauthVersionMax="47" xr10:uidLastSave="{00000000-0000-0000-0000-000000000000}"/>
  <bookViews>
    <workbookView xWindow="-44640" yWindow="-1360" windowWidth="41100" windowHeight="19060" xr2:uid="{00000000-000D-0000-FFFF-FFFF00000000}"/>
  </bookViews>
  <sheets>
    <sheet name="Raw data calculations" sheetId="5" r:id="rId1"/>
    <sheet name="brand_pivot" sheetId="7" r:id="rId2"/>
    <sheet name="product_ad_spend" sheetId="8" r:id="rId3"/>
    <sheet name="Final Budget Allocation" sheetId="9" r:id="rId4"/>
    <sheet name="Market share calculations" sheetId="6" r:id="rId5"/>
    <sheet name="Market share" sheetId="4" r:id="rId6"/>
    <sheet name="Market data" sheetId="2" r:id="rId7"/>
    <sheet name="2023 Budget" sheetId="3" r:id="rId8"/>
  </sheets>
  <calcPr calcId="191028"/>
  <pivotCaches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6" l="1"/>
  <c r="J182" i="5"/>
  <c r="I5" i="6"/>
  <c r="I4" i="6"/>
  <c r="I3" i="6"/>
  <c r="H4" i="6"/>
  <c r="H3" i="6"/>
  <c r="H2" i="6"/>
  <c r="C14" i="9"/>
  <c r="F14" i="9"/>
  <c r="E14" i="9"/>
  <c r="F3" i="9"/>
  <c r="F4" i="9"/>
  <c r="F5" i="9"/>
  <c r="F6" i="9"/>
  <c r="F7" i="9"/>
  <c r="F8" i="9"/>
  <c r="F9" i="9"/>
  <c r="F10" i="9"/>
  <c r="F11" i="9"/>
  <c r="F12" i="9"/>
  <c r="F13" i="9"/>
  <c r="F2" i="9"/>
  <c r="E3" i="9"/>
  <c r="E4" i="9"/>
  <c r="E5" i="9"/>
  <c r="E6" i="9"/>
  <c r="E7" i="9"/>
  <c r="E8" i="9"/>
  <c r="E9" i="9"/>
  <c r="E10" i="9"/>
  <c r="E11" i="9"/>
  <c r="E12" i="9"/>
  <c r="E13" i="9"/>
  <c r="E2" i="9"/>
  <c r="H14" i="9"/>
  <c r="I14" i="9"/>
  <c r="B14" i="9"/>
  <c r="D14" i="9"/>
  <c r="P3" i="9"/>
  <c r="P4" i="9"/>
  <c r="P5" i="9"/>
  <c r="P6" i="9"/>
  <c r="P7" i="9"/>
  <c r="P8" i="9"/>
  <c r="P9" i="9"/>
  <c r="P10" i="9"/>
  <c r="P11" i="9"/>
  <c r="P12" i="9"/>
  <c r="P13" i="9"/>
  <c r="P2" i="9"/>
  <c r="N3" i="9"/>
  <c r="N4" i="9"/>
  <c r="N5" i="9"/>
  <c r="N6" i="9"/>
  <c r="N7" i="9"/>
  <c r="N8" i="9"/>
  <c r="N9" i="9"/>
  <c r="N10" i="9"/>
  <c r="N11" i="9"/>
  <c r="N12" i="9"/>
  <c r="N13" i="9"/>
  <c r="N2" i="9"/>
  <c r="L3" i="9"/>
  <c r="L4" i="9"/>
  <c r="L5" i="9"/>
  <c r="L6" i="9"/>
  <c r="L7" i="9"/>
  <c r="L8" i="9"/>
  <c r="L9" i="9"/>
  <c r="L10" i="9"/>
  <c r="L11" i="9"/>
  <c r="L12" i="9"/>
  <c r="L13" i="9"/>
  <c r="L2" i="9"/>
  <c r="J3" i="9"/>
  <c r="J4" i="9"/>
  <c r="J5" i="9"/>
  <c r="J6" i="9"/>
  <c r="J7" i="9"/>
  <c r="J8" i="9"/>
  <c r="J9" i="9"/>
  <c r="J10" i="9"/>
  <c r="J11" i="9"/>
  <c r="J12" i="9"/>
  <c r="J13" i="9"/>
  <c r="J2" i="9"/>
  <c r="H2" i="9"/>
  <c r="Q3" i="9"/>
  <c r="Q4" i="9"/>
  <c r="Q5" i="9"/>
  <c r="Q6" i="9"/>
  <c r="Q7" i="9"/>
  <c r="Q8" i="9"/>
  <c r="Q9" i="9"/>
  <c r="Q10" i="9"/>
  <c r="Q11" i="9"/>
  <c r="Q12" i="9"/>
  <c r="Q13" i="9"/>
  <c r="Q2" i="9"/>
  <c r="K14" i="9"/>
  <c r="M14" i="9"/>
  <c r="O14" i="9"/>
  <c r="H3" i="9"/>
  <c r="R3" i="9" s="1"/>
  <c r="H4" i="9"/>
  <c r="H5" i="9"/>
  <c r="H6" i="9"/>
  <c r="H7" i="9"/>
  <c r="H8" i="9"/>
  <c r="H9" i="9"/>
  <c r="H10" i="9"/>
  <c r="H11" i="9"/>
  <c r="R11" i="9" s="1"/>
  <c r="H12" i="9"/>
  <c r="H13" i="9"/>
  <c r="O38" i="8"/>
  <c r="I38" i="8"/>
  <c r="I3" i="8"/>
  <c r="I4" i="8"/>
  <c r="I5" i="8"/>
  <c r="I6" i="8"/>
  <c r="I41" i="8" s="1"/>
  <c r="I7" i="8"/>
  <c r="I8" i="8"/>
  <c r="I9" i="8"/>
  <c r="I10" i="8"/>
  <c r="I11" i="8"/>
  <c r="I12" i="8"/>
  <c r="I13" i="8"/>
  <c r="I14" i="8"/>
  <c r="I40" i="8" s="1"/>
  <c r="I15" i="8"/>
  <c r="I16" i="8"/>
  <c r="I17" i="8"/>
  <c r="I18" i="8"/>
  <c r="I19" i="8"/>
  <c r="I20" i="8"/>
  <c r="I21" i="8"/>
  <c r="I22" i="8"/>
  <c r="I23" i="8"/>
  <c r="I24" i="8"/>
  <c r="I25" i="8"/>
  <c r="I26" i="8"/>
  <c r="I39" i="8" s="1"/>
  <c r="I27" i="8"/>
  <c r="I28" i="8"/>
  <c r="I29" i="8"/>
  <c r="I30" i="8"/>
  <c r="I31" i="8"/>
  <c r="I32" i="8"/>
  <c r="I33" i="8"/>
  <c r="I34" i="8"/>
  <c r="I35" i="8"/>
  <c r="I36" i="8"/>
  <c r="I37" i="8"/>
  <c r="F3" i="8"/>
  <c r="F4" i="8"/>
  <c r="F5" i="8"/>
  <c r="F6" i="8"/>
  <c r="F41" i="8" s="1"/>
  <c r="F7" i="8"/>
  <c r="F42" i="8" s="1"/>
  <c r="F8" i="8"/>
  <c r="F9" i="8"/>
  <c r="F10" i="8"/>
  <c r="F11" i="8"/>
  <c r="F12" i="8"/>
  <c r="F13" i="8"/>
  <c r="F14" i="8"/>
  <c r="F40" i="8" s="1"/>
  <c r="F15" i="8"/>
  <c r="F16" i="8"/>
  <c r="F17" i="8"/>
  <c r="F18" i="8"/>
  <c r="F19" i="8"/>
  <c r="F20" i="8"/>
  <c r="F21" i="8"/>
  <c r="F22" i="8"/>
  <c r="F23" i="8"/>
  <c r="F24" i="8"/>
  <c r="F25" i="8"/>
  <c r="F26" i="8"/>
  <c r="F39" i="8" s="1"/>
  <c r="F27" i="8"/>
  <c r="F28" i="8"/>
  <c r="F29" i="8"/>
  <c r="F30" i="8"/>
  <c r="F31" i="8"/>
  <c r="F32" i="8"/>
  <c r="F33" i="8"/>
  <c r="F34" i="8"/>
  <c r="F35" i="8"/>
  <c r="F36" i="8"/>
  <c r="F37" i="8"/>
  <c r="F38" i="8"/>
  <c r="L38" i="8"/>
  <c r="L41" i="8"/>
  <c r="L40" i="8"/>
  <c r="L39" i="8"/>
  <c r="O39" i="8"/>
  <c r="O40" i="8"/>
  <c r="O41" i="8"/>
  <c r="O42" i="8"/>
  <c r="Q41" i="8"/>
  <c r="Q40" i="8"/>
  <c r="Q39" i="8"/>
  <c r="L42" i="8"/>
  <c r="C42" i="8"/>
  <c r="B42" i="8"/>
  <c r="O26" i="8"/>
  <c r="R41" i="8"/>
  <c r="R40" i="8"/>
  <c r="R39" i="8"/>
  <c r="C41" i="8"/>
  <c r="C40" i="8"/>
  <c r="C39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7" i="8"/>
  <c r="O28" i="8"/>
  <c r="O29" i="8"/>
  <c r="O30" i="8"/>
  <c r="O31" i="8"/>
  <c r="O32" i="8"/>
  <c r="O33" i="8"/>
  <c r="O34" i="8"/>
  <c r="O35" i="8"/>
  <c r="O36" i="8"/>
  <c r="O37" i="8"/>
  <c r="O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2" i="8"/>
  <c r="I2" i="8"/>
  <c r="F2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Q12" i="5"/>
  <c r="Q13" i="5"/>
  <c r="I2" i="5"/>
  <c r="J2" i="5"/>
  <c r="J7" i="5"/>
  <c r="I7" i="5"/>
  <c r="M2" i="5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2" i="6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2" i="5"/>
  <c r="J3" i="5"/>
  <c r="J4" i="5"/>
  <c r="J5" i="5"/>
  <c r="J6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I3" i="5"/>
  <c r="I4" i="5"/>
  <c r="I5" i="5"/>
  <c r="I6" i="5"/>
  <c r="H7" i="5"/>
  <c r="H20" i="5"/>
  <c r="I20" i="5" s="1"/>
  <c r="H10" i="5"/>
  <c r="I10" i="5" s="1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I18" i="5" s="1"/>
  <c r="H19" i="5"/>
  <c r="I19" i="5" s="1"/>
  <c r="H21" i="5"/>
  <c r="I21" i="5" s="1"/>
  <c r="H22" i="5"/>
  <c r="I22" i="5" s="1"/>
  <c r="H23" i="5"/>
  <c r="I23" i="5" s="1"/>
  <c r="H24" i="5"/>
  <c r="I24" i="5" s="1"/>
  <c r="H25" i="5"/>
  <c r="I25" i="5" s="1"/>
  <c r="H26" i="5"/>
  <c r="I26" i="5" s="1"/>
  <c r="H27" i="5"/>
  <c r="I27" i="5" s="1"/>
  <c r="H28" i="5"/>
  <c r="I28" i="5" s="1"/>
  <c r="H29" i="5"/>
  <c r="I29" i="5" s="1"/>
  <c r="H30" i="5"/>
  <c r="I30" i="5" s="1"/>
  <c r="H31" i="5"/>
  <c r="I31" i="5" s="1"/>
  <c r="H32" i="5"/>
  <c r="I32" i="5" s="1"/>
  <c r="H33" i="5"/>
  <c r="I33" i="5" s="1"/>
  <c r="H34" i="5"/>
  <c r="I34" i="5" s="1"/>
  <c r="H35" i="5"/>
  <c r="I35" i="5" s="1"/>
  <c r="H36" i="5"/>
  <c r="I36" i="5" s="1"/>
  <c r="H37" i="5"/>
  <c r="I37" i="5" s="1"/>
  <c r="H38" i="5"/>
  <c r="I38" i="5" s="1"/>
  <c r="H39" i="5"/>
  <c r="I39" i="5" s="1"/>
  <c r="H40" i="5"/>
  <c r="I40" i="5" s="1"/>
  <c r="H41" i="5"/>
  <c r="I41" i="5" s="1"/>
  <c r="H42" i="5"/>
  <c r="I42" i="5" s="1"/>
  <c r="H43" i="5"/>
  <c r="I43" i="5" s="1"/>
  <c r="H44" i="5"/>
  <c r="I44" i="5" s="1"/>
  <c r="H45" i="5"/>
  <c r="I45" i="5" s="1"/>
  <c r="H46" i="5"/>
  <c r="I46" i="5" s="1"/>
  <c r="H47" i="5"/>
  <c r="I47" i="5" s="1"/>
  <c r="H48" i="5"/>
  <c r="I48" i="5" s="1"/>
  <c r="H49" i="5"/>
  <c r="I49" i="5" s="1"/>
  <c r="H50" i="5"/>
  <c r="I50" i="5" s="1"/>
  <c r="H51" i="5"/>
  <c r="I51" i="5" s="1"/>
  <c r="H52" i="5"/>
  <c r="I52" i="5" s="1"/>
  <c r="H53" i="5"/>
  <c r="I53" i="5" s="1"/>
  <c r="H54" i="5"/>
  <c r="I54" i="5" s="1"/>
  <c r="H55" i="5"/>
  <c r="I55" i="5" s="1"/>
  <c r="H56" i="5"/>
  <c r="I56" i="5" s="1"/>
  <c r="H57" i="5"/>
  <c r="I57" i="5" s="1"/>
  <c r="H58" i="5"/>
  <c r="I58" i="5" s="1"/>
  <c r="H59" i="5"/>
  <c r="I59" i="5" s="1"/>
  <c r="H60" i="5"/>
  <c r="I60" i="5" s="1"/>
  <c r="H61" i="5"/>
  <c r="I61" i="5" s="1"/>
  <c r="H62" i="5"/>
  <c r="I62" i="5" s="1"/>
  <c r="H63" i="5"/>
  <c r="I63" i="5" s="1"/>
  <c r="H64" i="5"/>
  <c r="I64" i="5" s="1"/>
  <c r="H65" i="5"/>
  <c r="I65" i="5" s="1"/>
  <c r="H66" i="5"/>
  <c r="I66" i="5" s="1"/>
  <c r="H67" i="5"/>
  <c r="I67" i="5" s="1"/>
  <c r="H68" i="5"/>
  <c r="I68" i="5" s="1"/>
  <c r="H69" i="5"/>
  <c r="I69" i="5" s="1"/>
  <c r="H70" i="5"/>
  <c r="I70" i="5" s="1"/>
  <c r="H71" i="5"/>
  <c r="I71" i="5" s="1"/>
  <c r="H72" i="5"/>
  <c r="I72" i="5" s="1"/>
  <c r="H73" i="5"/>
  <c r="I73" i="5" s="1"/>
  <c r="H74" i="5"/>
  <c r="I74" i="5" s="1"/>
  <c r="H75" i="5"/>
  <c r="I75" i="5" s="1"/>
  <c r="H76" i="5"/>
  <c r="I76" i="5" s="1"/>
  <c r="H77" i="5"/>
  <c r="I77" i="5" s="1"/>
  <c r="H78" i="5"/>
  <c r="I78" i="5" s="1"/>
  <c r="H79" i="5"/>
  <c r="I79" i="5" s="1"/>
  <c r="H80" i="5"/>
  <c r="I80" i="5" s="1"/>
  <c r="H81" i="5"/>
  <c r="I81" i="5" s="1"/>
  <c r="H82" i="5"/>
  <c r="I82" i="5" s="1"/>
  <c r="H83" i="5"/>
  <c r="I83" i="5" s="1"/>
  <c r="H84" i="5"/>
  <c r="I84" i="5" s="1"/>
  <c r="H85" i="5"/>
  <c r="I85" i="5" s="1"/>
  <c r="H86" i="5"/>
  <c r="I86" i="5" s="1"/>
  <c r="H87" i="5"/>
  <c r="I87" i="5" s="1"/>
  <c r="H88" i="5"/>
  <c r="I88" i="5" s="1"/>
  <c r="H89" i="5"/>
  <c r="I89" i="5" s="1"/>
  <c r="H90" i="5"/>
  <c r="I90" i="5" s="1"/>
  <c r="H91" i="5"/>
  <c r="I91" i="5" s="1"/>
  <c r="H92" i="5"/>
  <c r="I92" i="5" s="1"/>
  <c r="H93" i="5"/>
  <c r="I93" i="5" s="1"/>
  <c r="H94" i="5"/>
  <c r="I94" i="5" s="1"/>
  <c r="H95" i="5"/>
  <c r="I95" i="5" s="1"/>
  <c r="H96" i="5"/>
  <c r="I96" i="5" s="1"/>
  <c r="H97" i="5"/>
  <c r="I97" i="5" s="1"/>
  <c r="H98" i="5"/>
  <c r="I98" i="5" s="1"/>
  <c r="H99" i="5"/>
  <c r="I99" i="5" s="1"/>
  <c r="H100" i="5"/>
  <c r="I100" i="5" s="1"/>
  <c r="H101" i="5"/>
  <c r="I101" i="5" s="1"/>
  <c r="H102" i="5"/>
  <c r="I102" i="5" s="1"/>
  <c r="H103" i="5"/>
  <c r="I103" i="5" s="1"/>
  <c r="H104" i="5"/>
  <c r="I104" i="5" s="1"/>
  <c r="H105" i="5"/>
  <c r="I105" i="5" s="1"/>
  <c r="H106" i="5"/>
  <c r="I106" i="5" s="1"/>
  <c r="H107" i="5"/>
  <c r="I107" i="5" s="1"/>
  <c r="H108" i="5"/>
  <c r="I108" i="5" s="1"/>
  <c r="H109" i="5"/>
  <c r="I109" i="5" s="1"/>
  <c r="H110" i="5"/>
  <c r="I110" i="5" s="1"/>
  <c r="H111" i="5"/>
  <c r="I111" i="5" s="1"/>
  <c r="H112" i="5"/>
  <c r="I112" i="5" s="1"/>
  <c r="H113" i="5"/>
  <c r="I113" i="5" s="1"/>
  <c r="H114" i="5"/>
  <c r="I114" i="5" s="1"/>
  <c r="H115" i="5"/>
  <c r="I115" i="5" s="1"/>
  <c r="H116" i="5"/>
  <c r="I116" i="5" s="1"/>
  <c r="H117" i="5"/>
  <c r="I117" i="5" s="1"/>
  <c r="H118" i="5"/>
  <c r="I118" i="5" s="1"/>
  <c r="H119" i="5"/>
  <c r="I119" i="5" s="1"/>
  <c r="H120" i="5"/>
  <c r="I120" i="5" s="1"/>
  <c r="H121" i="5"/>
  <c r="I121" i="5" s="1"/>
  <c r="H122" i="5"/>
  <c r="I122" i="5" s="1"/>
  <c r="H123" i="5"/>
  <c r="I123" i="5" s="1"/>
  <c r="H124" i="5"/>
  <c r="I124" i="5" s="1"/>
  <c r="H125" i="5"/>
  <c r="I125" i="5" s="1"/>
  <c r="H126" i="5"/>
  <c r="I126" i="5" s="1"/>
  <c r="H127" i="5"/>
  <c r="I127" i="5" s="1"/>
  <c r="H128" i="5"/>
  <c r="I128" i="5" s="1"/>
  <c r="H129" i="5"/>
  <c r="I129" i="5" s="1"/>
  <c r="H130" i="5"/>
  <c r="I130" i="5" s="1"/>
  <c r="H131" i="5"/>
  <c r="I131" i="5" s="1"/>
  <c r="H132" i="5"/>
  <c r="I132" i="5" s="1"/>
  <c r="H133" i="5"/>
  <c r="I133" i="5" s="1"/>
  <c r="H134" i="5"/>
  <c r="I134" i="5" s="1"/>
  <c r="H135" i="5"/>
  <c r="I135" i="5" s="1"/>
  <c r="H136" i="5"/>
  <c r="I136" i="5" s="1"/>
  <c r="H137" i="5"/>
  <c r="I137" i="5" s="1"/>
  <c r="H138" i="5"/>
  <c r="I138" i="5" s="1"/>
  <c r="H139" i="5"/>
  <c r="I139" i="5" s="1"/>
  <c r="H140" i="5"/>
  <c r="I140" i="5" s="1"/>
  <c r="H141" i="5"/>
  <c r="I141" i="5" s="1"/>
  <c r="H142" i="5"/>
  <c r="I142" i="5" s="1"/>
  <c r="H143" i="5"/>
  <c r="I143" i="5" s="1"/>
  <c r="H144" i="5"/>
  <c r="I144" i="5" s="1"/>
  <c r="H145" i="5"/>
  <c r="I145" i="5" s="1"/>
  <c r="H146" i="5"/>
  <c r="I146" i="5" s="1"/>
  <c r="H147" i="5"/>
  <c r="I147" i="5" s="1"/>
  <c r="H148" i="5"/>
  <c r="I148" i="5" s="1"/>
  <c r="H149" i="5"/>
  <c r="I149" i="5" s="1"/>
  <c r="H150" i="5"/>
  <c r="I150" i="5" s="1"/>
  <c r="H151" i="5"/>
  <c r="I151" i="5" s="1"/>
  <c r="H152" i="5"/>
  <c r="I152" i="5" s="1"/>
  <c r="H153" i="5"/>
  <c r="I153" i="5" s="1"/>
  <c r="H154" i="5"/>
  <c r="I154" i="5" s="1"/>
  <c r="H155" i="5"/>
  <c r="I155" i="5" s="1"/>
  <c r="H156" i="5"/>
  <c r="I156" i="5" s="1"/>
  <c r="H157" i="5"/>
  <c r="I157" i="5" s="1"/>
  <c r="H158" i="5"/>
  <c r="I158" i="5" s="1"/>
  <c r="H159" i="5"/>
  <c r="I159" i="5" s="1"/>
  <c r="H160" i="5"/>
  <c r="I160" i="5" s="1"/>
  <c r="H161" i="5"/>
  <c r="I161" i="5" s="1"/>
  <c r="H162" i="5"/>
  <c r="I162" i="5" s="1"/>
  <c r="H163" i="5"/>
  <c r="I163" i="5" s="1"/>
  <c r="H164" i="5"/>
  <c r="I164" i="5" s="1"/>
  <c r="H165" i="5"/>
  <c r="I165" i="5" s="1"/>
  <c r="H166" i="5"/>
  <c r="I166" i="5" s="1"/>
  <c r="H167" i="5"/>
  <c r="I167" i="5" s="1"/>
  <c r="H168" i="5"/>
  <c r="I168" i="5" s="1"/>
  <c r="H169" i="5"/>
  <c r="I169" i="5" s="1"/>
  <c r="H170" i="5"/>
  <c r="I170" i="5" s="1"/>
  <c r="H171" i="5"/>
  <c r="I171" i="5" s="1"/>
  <c r="H172" i="5"/>
  <c r="I172" i="5" s="1"/>
  <c r="H173" i="5"/>
  <c r="I173" i="5" s="1"/>
  <c r="H174" i="5"/>
  <c r="I174" i="5" s="1"/>
  <c r="H175" i="5"/>
  <c r="I175" i="5" s="1"/>
  <c r="H176" i="5"/>
  <c r="I176" i="5" s="1"/>
  <c r="H177" i="5"/>
  <c r="I177" i="5" s="1"/>
  <c r="H178" i="5"/>
  <c r="I178" i="5" s="1"/>
  <c r="H179" i="5"/>
  <c r="I179" i="5" s="1"/>
  <c r="H180" i="5"/>
  <c r="I180" i="5" s="1"/>
  <c r="H181" i="5"/>
  <c r="I181" i="5" s="1"/>
  <c r="H9" i="5"/>
  <c r="I9" i="5" s="1"/>
  <c r="H8" i="5"/>
  <c r="I8" i="5" s="1"/>
  <c r="G181" i="5"/>
  <c r="F181" i="5"/>
  <c r="G180" i="5"/>
  <c r="F180" i="5"/>
  <c r="G179" i="5"/>
  <c r="F179" i="5"/>
  <c r="G178" i="5"/>
  <c r="F178" i="5"/>
  <c r="G177" i="5"/>
  <c r="F177" i="5"/>
  <c r="G176" i="5"/>
  <c r="F176" i="5"/>
  <c r="G175" i="5"/>
  <c r="F175" i="5"/>
  <c r="G174" i="5"/>
  <c r="F174" i="5"/>
  <c r="G173" i="5"/>
  <c r="F173" i="5"/>
  <c r="G172" i="5"/>
  <c r="F172" i="5"/>
  <c r="G171" i="5"/>
  <c r="F171" i="5"/>
  <c r="G170" i="5"/>
  <c r="F170" i="5"/>
  <c r="G169" i="5"/>
  <c r="F169" i="5"/>
  <c r="G168" i="5"/>
  <c r="F168" i="5"/>
  <c r="G167" i="5"/>
  <c r="F167" i="5"/>
  <c r="G166" i="5"/>
  <c r="F166" i="5"/>
  <c r="G165" i="5"/>
  <c r="F165" i="5"/>
  <c r="G164" i="5"/>
  <c r="F164" i="5"/>
  <c r="G163" i="5"/>
  <c r="F163" i="5"/>
  <c r="G162" i="5"/>
  <c r="F162" i="5"/>
  <c r="G161" i="5"/>
  <c r="F161" i="5"/>
  <c r="G160" i="5"/>
  <c r="F160" i="5"/>
  <c r="G159" i="5"/>
  <c r="F159" i="5"/>
  <c r="G158" i="5"/>
  <c r="F158" i="5"/>
  <c r="G157" i="5"/>
  <c r="F157" i="5"/>
  <c r="G156" i="5"/>
  <c r="F156" i="5"/>
  <c r="G155" i="5"/>
  <c r="F155" i="5"/>
  <c r="G154" i="5"/>
  <c r="F154" i="5"/>
  <c r="G153" i="5"/>
  <c r="F153" i="5"/>
  <c r="G152" i="5"/>
  <c r="F152" i="5"/>
  <c r="G151" i="5"/>
  <c r="F151" i="5"/>
  <c r="G150" i="5"/>
  <c r="F150" i="5"/>
  <c r="G149" i="5"/>
  <c r="F149" i="5"/>
  <c r="G148" i="5"/>
  <c r="F148" i="5"/>
  <c r="G147" i="5"/>
  <c r="F147" i="5"/>
  <c r="G146" i="5"/>
  <c r="F146" i="5"/>
  <c r="G145" i="5"/>
  <c r="F145" i="5"/>
  <c r="G144" i="5"/>
  <c r="F144" i="5"/>
  <c r="G143" i="5"/>
  <c r="F143" i="5"/>
  <c r="G142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5" i="5"/>
  <c r="F135" i="5"/>
  <c r="G134" i="5"/>
  <c r="F134" i="5"/>
  <c r="G133" i="5"/>
  <c r="F133" i="5"/>
  <c r="G132" i="5"/>
  <c r="F132" i="5"/>
  <c r="G131" i="5"/>
  <c r="F131" i="5"/>
  <c r="G130" i="5"/>
  <c r="F130" i="5"/>
  <c r="G129" i="5"/>
  <c r="F129" i="5"/>
  <c r="G128" i="5"/>
  <c r="F128" i="5"/>
  <c r="G127" i="5"/>
  <c r="F127" i="5"/>
  <c r="G126" i="5"/>
  <c r="F126" i="5"/>
  <c r="G125" i="5"/>
  <c r="F125" i="5"/>
  <c r="G124" i="5"/>
  <c r="F124" i="5"/>
  <c r="G123" i="5"/>
  <c r="F123" i="5"/>
  <c r="G122" i="5"/>
  <c r="F122" i="5"/>
  <c r="G121" i="5"/>
  <c r="F121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4" i="5"/>
  <c r="F114" i="5"/>
  <c r="G113" i="5"/>
  <c r="F113" i="5"/>
  <c r="G112" i="5"/>
  <c r="F112" i="5"/>
  <c r="G111" i="5"/>
  <c r="F111" i="5"/>
  <c r="G110" i="5"/>
  <c r="F110" i="5"/>
  <c r="G109" i="5"/>
  <c r="F109" i="5"/>
  <c r="G108" i="5"/>
  <c r="F108" i="5"/>
  <c r="G107" i="5"/>
  <c r="F107" i="5"/>
  <c r="G106" i="5"/>
  <c r="F106" i="5"/>
  <c r="G105" i="5"/>
  <c r="F105" i="5"/>
  <c r="G104" i="5"/>
  <c r="F104" i="5"/>
  <c r="G103" i="5"/>
  <c r="F103" i="5"/>
  <c r="G102" i="5"/>
  <c r="F102" i="5"/>
  <c r="G101" i="5"/>
  <c r="F101" i="5"/>
  <c r="G100" i="5"/>
  <c r="F100" i="5"/>
  <c r="G99" i="5"/>
  <c r="F99" i="5"/>
  <c r="G98" i="5"/>
  <c r="F98" i="5"/>
  <c r="G97" i="5"/>
  <c r="F97" i="5"/>
  <c r="G96" i="5"/>
  <c r="F96" i="5"/>
  <c r="G95" i="5"/>
  <c r="F95" i="5"/>
  <c r="G94" i="5"/>
  <c r="F94" i="5"/>
  <c r="G93" i="5"/>
  <c r="F93" i="5"/>
  <c r="G92" i="5"/>
  <c r="F92" i="5"/>
  <c r="G91" i="5"/>
  <c r="F91" i="5"/>
  <c r="G90" i="5"/>
  <c r="F90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2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2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2" i="2"/>
  <c r="N14" i="9" l="1"/>
  <c r="P14" i="9"/>
  <c r="R10" i="9"/>
  <c r="R13" i="9"/>
  <c r="R5" i="9"/>
  <c r="R12" i="9"/>
  <c r="R4" i="9"/>
  <c r="R9" i="9"/>
  <c r="R8" i="9"/>
  <c r="R7" i="9"/>
  <c r="R2" i="9"/>
  <c r="R6" i="9"/>
  <c r="G14" i="9"/>
  <c r="Q14" i="9"/>
  <c r="I42" i="8"/>
  <c r="L2" i="5" a="1"/>
  <c r="M37" i="5" s="1"/>
  <c r="R14" i="9" l="1"/>
  <c r="M17" i="5"/>
  <c r="M23" i="5"/>
  <c r="M31" i="5"/>
  <c r="M4" i="5"/>
  <c r="M5" i="5"/>
  <c r="M12" i="5"/>
  <c r="M34" i="5"/>
  <c r="M14" i="5"/>
  <c r="M16" i="5"/>
  <c r="M22" i="5"/>
  <c r="M21" i="5"/>
  <c r="M13" i="5"/>
  <c r="M18" i="5"/>
  <c r="M11" i="5"/>
  <c r="M26" i="5"/>
  <c r="M29" i="5"/>
  <c r="M27" i="5"/>
  <c r="M20" i="5"/>
  <c r="M3" i="5"/>
  <c r="M6" i="5"/>
  <c r="M28" i="5"/>
  <c r="M9" i="5"/>
  <c r="M8" i="5"/>
  <c r="M19" i="5"/>
  <c r="M36" i="5"/>
  <c r="M35" i="5"/>
  <c r="M25" i="5"/>
  <c r="M24" i="5"/>
  <c r="L2" i="5"/>
  <c r="M30" i="5"/>
  <c r="M15" i="5"/>
  <c r="M32" i="5"/>
  <c r="M7" i="5"/>
  <c r="M33" i="5"/>
  <c r="M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<sst xmlns="http://schemas.openxmlformats.org/spreadsheetml/2006/main" count="648" uniqueCount="153">
  <si>
    <t>Date</t>
  </si>
  <si>
    <t>Brand</t>
  </si>
  <si>
    <t>Media Budget</t>
  </si>
  <si>
    <t>Revenue</t>
  </si>
  <si>
    <t>monthly contribution to Market Share</t>
  </si>
  <si>
    <t>2020-01-01</t>
  </si>
  <si>
    <t>LuxeGlow</t>
  </si>
  <si>
    <t>NaturEssence</t>
  </si>
  <si>
    <t>TrendyChic</t>
  </si>
  <si>
    <t>PureRadiance</t>
  </si>
  <si>
    <t>GlamourWave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</si>
  <si>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</si>
  <si>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</si>
  <si>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</si>
  <si>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</si>
  <si>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</si>
  <si>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</si>
  <si>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</si>
  <si>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</si>
  <si>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</si>
  <si>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</si>
  <si>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</si>
  <si>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</si>
  <si>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</si>
  <si>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</si>
  <si>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</si>
  <si>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</si>
  <si>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</si>
  <si>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</si>
  <si>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</si>
  <si>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</si>
  <si>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</si>
  <si>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</si>
  <si>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</si>
  <si>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</si>
  <si>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</si>
  <si>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</si>
  <si>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</si>
  <si>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</si>
  <si>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</si>
  <si>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</si>
  <si>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</si>
  <si>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</si>
  <si>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</si>
  <si>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</si>
  <si>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</si>
  <si>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Competitor A</t>
  </si>
  <si>
    <t>Competitor B</t>
  </si>
  <si>
    <t>Competitor C</t>
  </si>
  <si>
    <t>Total Market Size</t>
  </si>
  <si>
    <t>Year</t>
  </si>
  <si>
    <t>Total Media Budget</t>
  </si>
  <si>
    <t>Client Market Size</t>
  </si>
  <si>
    <t>Budget to Revenue Ratio</t>
  </si>
  <si>
    <t>Month</t>
  </si>
  <si>
    <t>Market Share per Month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</si>
  <si>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</si>
  <si>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</si>
  <si>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</si>
  <si>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</si>
  <si>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</si>
  <si>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</si>
  <si>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</si>
  <si>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</si>
  <si>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</si>
  <si>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</si>
  <si>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</si>
  <si>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</si>
  <si>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</si>
  <si>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</si>
  <si>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</si>
  <si>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</si>
  <si>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</si>
  <si>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</si>
  <si>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</si>
  <si>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</si>
  <si>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</si>
  <si>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</si>
  <si>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</si>
  <si>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</si>
  <si>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</si>
  <si>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</si>
  <si>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</si>
  <si>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</si>
  <si>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</si>
  <si>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</si>
  <si>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</si>
  <si>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</si>
  <si>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</si>
  <si>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</si>
  <si>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</si>
  <si>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</si>
  <si>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Market value calculated from competitor data</t>
  </si>
  <si>
    <t>Market Share per Month from revenue</t>
  </si>
  <si>
    <t>Difference(checking correct logic)</t>
  </si>
  <si>
    <t>% Market Share Competitor A</t>
  </si>
  <si>
    <t xml:space="preserve"> % Market Share Competitor B</t>
  </si>
  <si>
    <t xml:space="preserve"> % Market Share Competitor C</t>
  </si>
  <si>
    <t xml:space="preserve"> % Market Share Competitor Client</t>
  </si>
  <si>
    <t>Assumptions</t>
  </si>
  <si>
    <t>1) Market share can be calculated as total revenue of 5 projects. Data was cross referenced by calculating the difference from market share and total share held by competitors</t>
  </si>
  <si>
    <t>Month-year</t>
  </si>
  <si>
    <t>ROI</t>
  </si>
  <si>
    <t>Sales Growth</t>
  </si>
  <si>
    <t>2) Sales Growth = Current revenue - previous revenue</t>
  </si>
  <si>
    <t xml:space="preserve">3) ROI = (Sales Growth - Marketing Cost) / Marketing Cost </t>
  </si>
  <si>
    <t>4) First ROI (2020-02-01) is equal to budget to avoid creating outliers</t>
  </si>
  <si>
    <t>Return on ad Spend</t>
  </si>
  <si>
    <t>Total ad-spend per month</t>
  </si>
  <si>
    <t>Market Share per ad-spend</t>
  </si>
  <si>
    <t>5) Return on ad spend is Revenue/Media Budget i.e revenue per each euro spent on advertising</t>
  </si>
  <si>
    <t>Minumum ad-spend</t>
  </si>
  <si>
    <t>Maximum ad-spend</t>
  </si>
  <si>
    <t>Row Labels</t>
  </si>
  <si>
    <t>Grand Total</t>
  </si>
  <si>
    <t>Column Labels</t>
  </si>
  <si>
    <t>Sum of Media Budget</t>
  </si>
  <si>
    <t>Total Sum of Media Budget</t>
  </si>
  <si>
    <t>Total Sum of Revenue</t>
  </si>
  <si>
    <t>Sum of Revenue</t>
  </si>
  <si>
    <t>Total Revenue</t>
  </si>
  <si>
    <t>GlamourWave Media Budget</t>
  </si>
  <si>
    <t>GlamourWave Revenue</t>
  </si>
  <si>
    <t>LuxeGlow Media Budget</t>
  </si>
  <si>
    <t>LuxeGlow Revenue</t>
  </si>
  <si>
    <t>NaturEssence Media Budget</t>
  </si>
  <si>
    <t>NaturEssence Revenue</t>
  </si>
  <si>
    <t>PureRadiance Media Budget</t>
  </si>
  <si>
    <t>PureRadiance Revenue</t>
  </si>
  <si>
    <t>TrendyChic Media Budget</t>
  </si>
  <si>
    <t>TrendyChic Revenue</t>
  </si>
  <si>
    <t>GlamourWave Media Budget %</t>
  </si>
  <si>
    <t>LuxeGlow Media Budget %</t>
  </si>
  <si>
    <t>NaturEssence Media Budget %</t>
  </si>
  <si>
    <t>PureRadiance Media Budget %</t>
  </si>
  <si>
    <t>TrendyChic Media Budget %</t>
  </si>
  <si>
    <t>Average 2022</t>
  </si>
  <si>
    <t>Average 2021</t>
  </si>
  <si>
    <t>Average 2020</t>
  </si>
  <si>
    <t>Average Total</t>
  </si>
  <si>
    <t>Total %</t>
  </si>
  <si>
    <t>Total Projected Budget Allocation</t>
  </si>
  <si>
    <t xml:space="preserve">GlamourWave Media Budget </t>
  </si>
  <si>
    <t xml:space="preserve">TrendyChic Media Budget </t>
  </si>
  <si>
    <t>Total Budget</t>
  </si>
  <si>
    <t>ARIMA Predictions</t>
  </si>
  <si>
    <t>Linear Model Revenue Predictions</t>
  </si>
  <si>
    <t xml:space="preserve"> </t>
  </si>
  <si>
    <t>Return on ad Spend: Linear Model</t>
  </si>
  <si>
    <t>Return on ad Spend: ARIMA</t>
  </si>
  <si>
    <t xml:space="preserve">Calculations were done to ensure that market value figures provided in market share sheet was consistent with data provided in the raw data sheet. </t>
  </si>
  <si>
    <t>6) Return on ad spend = Media Budget/Revenue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</si>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</sst>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€&quot;#,##0.00;[Red]\-&quot;€&quot;#,##0.00"/>
    <numFmt numFmtId="44" formatCode="_-&quot;€&quot;* #,##0.00_-;\-&quot;€&quot;* #,##0.00_-;_-&quot;€&quot;* &quot;-&quot;??_-;_-@_-"/>
    <numFmt numFmtId="164" formatCode="[$$-409]#,##0.00"/>
    <numFmt numFmtId="165" formatCode="_-[$€-2]\ * #,##0.00_-;\-[$€-2]\ * #,##0.00_-;_-[$€-2]\ * &quot;-&quot;??_-;_-@_-"/>
    <numFmt numFmtId="166" formatCode="_([$€-2]\ * #,##0.00_);_([$€-2]\ * \(#,##0.00\);_([$€-2]\ * &quot;-&quot;??_);_(@_)"/>
    <numFmt numFmtId="167" formatCode="&quot;€&quot;#,##0.00"/>
    <numFmt numFmtId="168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CCCCCC"/>
      <name val="Arial"/>
      <family val="2"/>
    </font>
    <font>
      <b/>
      <sz val="12"/>
      <color rgb="FFCCCC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4" fontId="1" fillId="0" borderId="1" xfId="2" applyFont="1" applyBorder="1" applyAlignment="1">
      <alignment horizontal="center" vertical="top"/>
    </xf>
    <xf numFmtId="44" fontId="0" fillId="0" borderId="0" xfId="2" applyFont="1"/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166" fontId="0" fillId="0" borderId="0" xfId="0" applyNumberFormat="1" applyAlignment="1">
      <alignment vertical="center"/>
    </xf>
    <xf numFmtId="44" fontId="0" fillId="0" borderId="0" xfId="0" applyNumberFormat="1"/>
    <xf numFmtId="8" fontId="0" fillId="0" borderId="0" xfId="0" applyNumberFormat="1" applyAlignment="1">
      <alignment vertical="center"/>
    </xf>
    <xf numFmtId="8" fontId="0" fillId="0" borderId="0" xfId="0" applyNumberFormat="1"/>
    <xf numFmtId="167" fontId="0" fillId="0" borderId="0" xfId="0" applyNumberFormat="1"/>
    <xf numFmtId="9" fontId="0" fillId="0" borderId="0" xfId="1" applyFont="1"/>
    <xf numFmtId="9" fontId="0" fillId="0" borderId="0" xfId="0" applyNumberFormat="1" applyAlignment="1">
      <alignment vertical="center"/>
    </xf>
    <xf numFmtId="2" fontId="5" fillId="0" borderId="0" xfId="1" applyNumberFormat="1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9" fontId="1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5" fontId="0" fillId="0" borderId="0" xfId="0" applyNumberFormat="1"/>
    <xf numFmtId="0" fontId="0" fillId="2" borderId="0" xfId="0" applyFill="1"/>
    <xf numFmtId="0" fontId="5" fillId="0" borderId="0" xfId="0" applyFont="1"/>
    <xf numFmtId="0" fontId="0" fillId="3" borderId="0" xfId="0" applyFill="1"/>
    <xf numFmtId="0" fontId="0" fillId="4" borderId="0" xfId="0" applyFill="1"/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0" fontId="0" fillId="0" borderId="1" xfId="0" applyBorder="1"/>
    <xf numFmtId="168" fontId="0" fillId="0" borderId="1" xfId="0" applyNumberFormat="1" applyBorder="1"/>
    <xf numFmtId="2" fontId="0" fillId="0" borderId="1" xfId="0" applyNumberFormat="1" applyBorder="1"/>
    <xf numFmtId="0" fontId="4" fillId="0" borderId="1" xfId="0" applyFont="1" applyBorder="1"/>
    <xf numFmtId="0" fontId="4" fillId="0" borderId="0" xfId="0" applyFont="1"/>
    <xf numFmtId="2" fontId="4" fillId="0" borderId="1" xfId="0" applyNumberFormat="1" applyFont="1" applyBorder="1"/>
    <xf numFmtId="167" fontId="4" fillId="0" borderId="1" xfId="0" applyNumberFormat="1" applyFont="1" applyBorder="1"/>
    <xf numFmtId="167" fontId="3" fillId="0" borderId="0" xfId="0" applyNumberFormat="1" applyFont="1" applyBorder="1"/>
    <xf numFmtId="2" fontId="0" fillId="0" borderId="0" xfId="0" applyNumberFormat="1" applyAlignment="1">
      <alignment vertical="center"/>
    </xf>
  </cellXfs>
  <cellStyles count="3">
    <cellStyle name="Currency" xfId="2" builtinId="4"/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el Mc Dowall" refreshedDate="45688.949443171296" createdVersion="8" refreshedVersion="8" minRefreshableVersion="3" recordCount="180" xr:uid="{40C46A04-147F-454B-A8C2-37D4AB81D096}">
  <cacheSource type="worksheet">
    <worksheetSource ref="A1:I181" sheet="Raw data"/>
  </cacheSource>
  <cacheFields count="9">
    <cacheField name="Date" numFmtId="0">
      <sharedItems count="36">
        <s v="2020-01-01"/>
        <s v="2020-02-01"/>
        <s v="2020-03-01"/>
        <s v="2020-04-01"/>
        <s v="2020-05-01"/>
        <s v="2020-06-01"/>
        <s v="2020-07-01"/>
        <s v="2020-08-01"/>
        <s v="2020-09-01"/>
        <s v="2020-10-01"/>
        <s v="2020-11-01"/>
        <s v="2020-12-01"/>
        <s v="2021-01-01"/>
        <s v="2021-02-01"/>
        <s v="2021-03-01"/>
        <s v="2021-04-01"/>
        <s v="2021-05-01"/>
        <s v="2021-06-01"/>
        <s v="2021-07-01"/>
        <s v="2021-08-01"/>
        <s v="2021-09-01"/>
        <s v="2021-10-01"/>
        <s v="2021-11-01"/>
        <s v="2021-12-01"/>
        <s v="2022-01-01"/>
        <s v="2022-02-01"/>
        <s v="2022-03-01"/>
        <s v="2022-04-01"/>
        <s v="2022-05-01"/>
        <s v="2022-06-01"/>
        <s v="2022-07-01"/>
        <s v="2022-08-01"/>
        <s v="2022-09-01"/>
        <s v="2022-10-01"/>
        <s v="2022-11-01"/>
        <s v="2022-12-01"/>
      </sharedItems>
    </cacheField>
    <cacheField name="Brand" numFmtId="0">
      <sharedItems count="5">
        <s v="LuxeGlow"/>
        <s v="NaturEssence"/>
        <s v="TrendyChic"/>
        <s v="PureRadiance"/>
        <s v="GlamourWave"/>
      </sharedItems>
    </cacheField>
    <cacheField name="Media Budget" numFmtId="166">
      <sharedItems containsSemiMixedTypes="0" containsString="0" containsNumber="1" containsInteger="1" minValue="203000" maxValue="500000"/>
    </cacheField>
    <cacheField name="Revenue" numFmtId="165">
      <sharedItems containsSemiMixedTypes="0" containsString="0" containsNumber="1" containsInteger="1" minValue="8091780" maxValue="18866700"/>
    </cacheField>
    <cacheField name="monthly contribution to Market Share" numFmtId="9">
      <sharedItems containsSemiMixedTypes="0" containsString="0" containsNumber="1" minValue="0.05" maxValue="0.79"/>
    </cacheField>
    <cacheField name="Media Budget to Revenue Ratio" numFmtId="9">
      <sharedItems containsSemiMixedTypes="0" containsString="0" containsNumber="1" minValue="1.6721848767599745E-2" maxValue="4.8039168780114008E-2"/>
    </cacheField>
    <cacheField name="Sales Growth" numFmtId="0">
      <sharedItems containsSemiMixedTypes="0" containsString="0" containsNumber="1" containsInteger="1" minValue="-8139718" maxValue="6661573"/>
    </cacheField>
    <cacheField name="ROI" numFmtId="0">
      <sharedItems containsSemiMixedTypes="0" containsString="0" containsNumber="1" minValue="-34.84541592920354" maxValue="14.854671186440678"/>
    </cacheField>
    <cacheField name="Return on ad Spend" numFmtId="0">
      <sharedItems containsSemiMixedTypes="0" containsString="0" containsNumber="1" minValue="20.816346855983774" maxValue="59.8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n v="330000"/>
    <n v="9736612"/>
    <n v="0.11"/>
    <n v="3.3892692858665828E-2"/>
    <n v="0"/>
    <n v="-1"/>
    <n v="29.504884848484849"/>
  </r>
  <r>
    <x v="0"/>
    <x v="1"/>
    <n v="307000"/>
    <n v="8815331"/>
    <n v="0.31"/>
    <n v="3.4825691740900028E-2"/>
    <n v="0"/>
    <n v="-1"/>
    <n v="28.714433224755702"/>
  </r>
  <r>
    <x v="0"/>
    <x v="2"/>
    <n v="296000"/>
    <n v="9801435"/>
    <n v="0.31"/>
    <n v="3.0199659539649041E-2"/>
    <n v="0"/>
    <n v="-1"/>
    <n v="33.11295608108108"/>
  </r>
  <r>
    <x v="0"/>
    <x v="3"/>
    <n v="373000"/>
    <n v="9681593"/>
    <n v="0.09"/>
    <n v="3.8526717658963767E-2"/>
    <n v="0"/>
    <n v="-1"/>
    <n v="25.956013404825736"/>
  </r>
  <r>
    <x v="0"/>
    <x v="4"/>
    <n v="476000"/>
    <n v="10203030"/>
    <n v="0.18"/>
    <n v="4.6652808038396436E-2"/>
    <n v="0"/>
    <n v="-1"/>
    <n v="21.434936974789917"/>
  </r>
  <r>
    <x v="1"/>
    <x v="0"/>
    <n v="475000"/>
    <n v="11907769"/>
    <n v="0.05"/>
    <n v="3.9889923964766198E-2"/>
    <n v="2171157"/>
    <n v="3.5708568421052633"/>
    <n v="25.068987368421052"/>
  </r>
  <r>
    <x v="1"/>
    <x v="1"/>
    <n v="365000"/>
    <n v="10529568"/>
    <n v="0.6"/>
    <n v="3.4664290120924236E-2"/>
    <n v="1714237"/>
    <n v="3.6965397260273973"/>
    <n v="28.848131506849317"/>
  </r>
  <r>
    <x v="1"/>
    <x v="2"/>
    <n v="499000"/>
    <n v="12804773"/>
    <n v="0.1"/>
    <n v="3.8969843510697141E-2"/>
    <n v="3003338"/>
    <n v="5.018713426853707"/>
    <n v="25.660867735470941"/>
  </r>
  <r>
    <x v="1"/>
    <x v="3"/>
    <n v="251000"/>
    <n v="9383686"/>
    <n v="0.19"/>
    <n v="2.6748550622857584E-2"/>
    <n v="-297907"/>
    <n v="-2.1868804780876494"/>
    <n v="37.385203187250994"/>
  </r>
  <r>
    <x v="1"/>
    <x v="4"/>
    <n v="483000"/>
    <n v="11744765"/>
    <n v="0.06"/>
    <n v="4.1124705347446285E-2"/>
    <n v="1541735"/>
    <n v="2.1919979296066252"/>
    <n v="24.316283643892341"/>
  </r>
  <r>
    <x v="2"/>
    <x v="0"/>
    <n v="413000"/>
    <n v="10694756"/>
    <n v="0.16"/>
    <n v="3.8617056808028162E-2"/>
    <n v="-1213013"/>
    <n v="-3.9370774818401939"/>
    <n v="25.895292978208232"/>
  </r>
  <r>
    <x v="2"/>
    <x v="1"/>
    <n v="464000"/>
    <n v="13387633"/>
    <n v="7.0000000000000007E-2"/>
    <n v="3.4658852688895792E-2"/>
    <n v="2858065"/>
    <n v="5.1596228448275863"/>
    <n v="28.852657327586208"/>
  </r>
  <r>
    <x v="2"/>
    <x v="2"/>
    <n v="330000"/>
    <n v="10729381"/>
    <n v="0.06"/>
    <n v="3.0756667136715529E-2"/>
    <n v="-2075392"/>
    <n v="-7.2890666666666668"/>
    <n v="32.513275757575755"/>
  </r>
  <r>
    <x v="2"/>
    <x v="3"/>
    <n v="251000"/>
    <n v="9330606"/>
    <n v="0.36"/>
    <n v="2.690071791692844E-2"/>
    <n v="-53080"/>
    <n v="-1.2114741035856573"/>
    <n v="37.173729083665336"/>
  </r>
  <r>
    <x v="2"/>
    <x v="4"/>
    <n v="293000"/>
    <n v="9339281"/>
    <n v="0.35"/>
    <n v="3.1372864784773045E-2"/>
    <n v="-2405484"/>
    <n v="-9.2098430034129688"/>
    <n v="31.874679180887373"/>
  </r>
  <r>
    <x v="3"/>
    <x v="0"/>
    <n v="266000"/>
    <n v="9804550"/>
    <n v="0.06"/>
    <n v="2.7130260950273089E-2"/>
    <n v="-890206"/>
    <n v="-4.3466390977443607"/>
    <n v="36.859210526315792"/>
  </r>
  <r>
    <x v="3"/>
    <x v="1"/>
    <n v="344000"/>
    <n v="12385041"/>
    <n v="0.49"/>
    <n v="2.7775442971888425E-2"/>
    <n v="-1002592"/>
    <n v="-3.9145116279069767"/>
    <n v="36.003026162790697"/>
  </r>
  <r>
    <x v="3"/>
    <x v="2"/>
    <n v="394000"/>
    <n v="10862673"/>
    <n v="0.35"/>
    <n v="3.6270998860041169E-2"/>
    <n v="133292"/>
    <n v="-0.66169543147208121"/>
    <n v="27.570236040609139"/>
  </r>
  <r>
    <x v="3"/>
    <x v="3"/>
    <n v="486000"/>
    <n v="13031147"/>
    <n v="0.05"/>
    <n v="3.7295258813364623E-2"/>
    <n v="3700541"/>
    <n v="6.6142818930041152"/>
    <n v="26.813059670781893"/>
  </r>
  <r>
    <x v="3"/>
    <x v="4"/>
    <n v="347000"/>
    <n v="11410767"/>
    <n v="0.05"/>
    <n v="3.040987516439517E-2"/>
    <n v="2071486"/>
    <n v="4.9697002881844377"/>
    <n v="32.884054755043231"/>
  </r>
  <r>
    <x v="4"/>
    <x v="0"/>
    <n v="500000"/>
    <n v="13547159"/>
    <n v="0.06"/>
    <n v="3.6908107448949262E-2"/>
    <n v="3742609"/>
    <n v="6.4852179999999997"/>
    <n v="27.094318000000001"/>
  </r>
  <r>
    <x v="4"/>
    <x v="1"/>
    <n v="380000"/>
    <n v="11241223"/>
    <n v="0.08"/>
    <n v="3.3804151025204288E-2"/>
    <n v="-1143818"/>
    <n v="-4.0100473684210529"/>
    <n v="29.582165789473684"/>
  </r>
  <r>
    <x v="4"/>
    <x v="2"/>
    <n v="245000"/>
    <n v="10147820"/>
    <n v="0.25"/>
    <n v="2.4143116452597702E-2"/>
    <n v="-714853"/>
    <n v="-3.9177673469387755"/>
    <n v="41.419673469387753"/>
  </r>
  <r>
    <x v="4"/>
    <x v="3"/>
    <n v="270000"/>
    <n v="11354628"/>
    <n v="0.33"/>
    <n v="2.377885035071162E-2"/>
    <n v="-1676519"/>
    <n v="-7.2093296296296296"/>
    <n v="42.054177777777781"/>
  </r>
  <r>
    <x v="4"/>
    <x v="4"/>
    <n v="486000"/>
    <n v="14499497"/>
    <n v="0.28000000000000003"/>
    <n v="3.3518404121191239E-2"/>
    <n v="3088730"/>
    <n v="5.3554115226337444"/>
    <n v="29.834355967078189"/>
  </r>
  <r>
    <x v="5"/>
    <x v="0"/>
    <n v="474000"/>
    <n v="14736236"/>
    <n v="0.05"/>
    <n v="3.2165608639818204E-2"/>
    <n v="1189077"/>
    <n v="1.5086012658227848"/>
    <n v="31.089105485232068"/>
  </r>
  <r>
    <x v="5"/>
    <x v="1"/>
    <n v="482000"/>
    <n v="16115195"/>
    <n v="0.06"/>
    <n v="2.9909659796235787E-2"/>
    <n v="4873972"/>
    <n v="9.111975103734439"/>
    <n v="33.434014522821577"/>
  </r>
  <r>
    <x v="5"/>
    <x v="2"/>
    <n v="248000"/>
    <n v="10240788"/>
    <n v="0.74"/>
    <n v="2.4216886434911062E-2"/>
    <n v="92968"/>
    <n v="-0.62512903225806449"/>
    <n v="41.293500000000002"/>
  </r>
  <r>
    <x v="5"/>
    <x v="3"/>
    <n v="248000"/>
    <n v="10288599"/>
    <n v="0.1"/>
    <n v="2.4104350845047029E-2"/>
    <n v="-1066029"/>
    <n v="-5.2985040322580641"/>
    <n v="41.486286290322582"/>
  </r>
  <r>
    <x v="5"/>
    <x v="4"/>
    <n v="277000"/>
    <n v="11591896"/>
    <n v="0.05"/>
    <n v="2.3896004588032881E-2"/>
    <n v="-2907601"/>
    <n v="-11.496754512635379"/>
    <n v="41.847999999999999"/>
  </r>
  <r>
    <x v="6"/>
    <x v="0"/>
    <n v="490000"/>
    <n v="17860046"/>
    <n v="0.17"/>
    <n v="2.7435539639707535E-2"/>
    <n v="3123810"/>
    <n v="5.3751224489795915"/>
    <n v="36.449073469387756"/>
  </r>
  <r>
    <x v="6"/>
    <x v="1"/>
    <n v="384000"/>
    <n v="14221163"/>
    <n v="0.05"/>
    <n v="2.700201101696113E-2"/>
    <n v="-1894032"/>
    <n v="-5.9323750000000004"/>
    <n v="37.034278645833332"/>
  </r>
  <r>
    <x v="6"/>
    <x v="2"/>
    <n v="389000"/>
    <n v="14771419"/>
    <n v="0.31"/>
    <n v="2.6334639888016174E-2"/>
    <n v="4530631"/>
    <n v="10.646866323907455"/>
    <n v="37.972799485861181"/>
  </r>
  <r>
    <x v="6"/>
    <x v="3"/>
    <n v="383000"/>
    <n v="14954651"/>
    <n v="0.36"/>
    <n v="2.5610761494868722E-2"/>
    <n v="4666052"/>
    <n v="11.182903394255876"/>
    <n v="39.046086161879899"/>
  </r>
  <r>
    <x v="6"/>
    <x v="4"/>
    <n v="402000"/>
    <n v="14872814"/>
    <n v="0.11"/>
    <n v="2.7029182238142695E-2"/>
    <n v="3280918"/>
    <n v="7.1614875621890546"/>
    <n v="36.997049751243779"/>
  </r>
  <r>
    <x v="7"/>
    <x v="0"/>
    <n v="403000"/>
    <n v="12503684"/>
    <n v="0.05"/>
    <n v="3.2230501026737399E-2"/>
    <n v="-5356362"/>
    <n v="-14.291220843672457"/>
    <n v="31.026511166253101"/>
  </r>
  <r>
    <x v="7"/>
    <x v="1"/>
    <n v="234000"/>
    <n v="11322046"/>
    <n v="0.2"/>
    <n v="2.0667642579795208E-2"/>
    <n v="-2899117"/>
    <n v="-13.389388888888888"/>
    <n v="48.384811965811963"/>
  </r>
  <r>
    <x v="7"/>
    <x v="2"/>
    <n v="476000"/>
    <n v="16294948"/>
    <n v="0.1"/>
    <n v="2.9211507763019558E-2"/>
    <n v="1523529"/>
    <n v="2.2006911764705883"/>
    <n v="34.233084033613444"/>
  </r>
  <r>
    <x v="7"/>
    <x v="3"/>
    <n v="397000"/>
    <n v="14019620"/>
    <n v="0.5"/>
    <n v="2.8317457962484003E-2"/>
    <n v="-935031"/>
    <n v="-3.355241813602015"/>
    <n v="35.313904282115871"/>
  </r>
  <r>
    <x v="7"/>
    <x v="4"/>
    <n v="480000"/>
    <n v="13551407"/>
    <n v="0.15"/>
    <n v="3.5420676244171549E-2"/>
    <n v="-1321407"/>
    <n v="-3.7529312500000001"/>
    <n v="28.232097916666667"/>
  </r>
  <r>
    <x v="8"/>
    <x v="0"/>
    <n v="295000"/>
    <n v="10762843"/>
    <n v="0.15"/>
    <n v="2.7409114859335958E-2"/>
    <n v="-1740841"/>
    <n v="-6.9011559322033902"/>
    <n v="36.484213559322036"/>
  </r>
  <r>
    <x v="8"/>
    <x v="1"/>
    <n v="492000"/>
    <n v="14186415"/>
    <n v="0.17"/>
    <n v="3.4681066358202547E-2"/>
    <n v="2864369"/>
    <n v="4.821888211382114"/>
    <n v="28.834176829268294"/>
  </r>
  <r>
    <x v="8"/>
    <x v="2"/>
    <n v="400000"/>
    <n v="13275776"/>
    <n v="7.0000000000000007E-2"/>
    <n v="3.0130065466606244E-2"/>
    <n v="-3019172"/>
    <n v="-8.5479299999999991"/>
    <n v="33.189439999999998"/>
  </r>
  <r>
    <x v="8"/>
    <x v="3"/>
    <n v="398000"/>
    <n v="12218544"/>
    <n v="0.53"/>
    <n v="3.2573439192100137E-2"/>
    <n v="-1801076"/>
    <n v="-5.5253165829145727"/>
    <n v="30.699859296482412"/>
  </r>
  <r>
    <x v="8"/>
    <x v="4"/>
    <n v="281000"/>
    <n v="11043214"/>
    <n v="0.08"/>
    <n v="2.5445490778318702E-2"/>
    <n v="-2508193"/>
    <n v="-9.9259537366548045"/>
    <n v="39.299693950177939"/>
  </r>
  <r>
    <x v="9"/>
    <x v="0"/>
    <n v="233000"/>
    <n v="9371447"/>
    <n v="0.36"/>
    <n v="2.4862755986348746E-2"/>
    <n v="-1391396"/>
    <n v="-6.9716566523605152"/>
    <n v="40.2208025751073"/>
  </r>
  <r>
    <x v="9"/>
    <x v="1"/>
    <n v="483000"/>
    <n v="12314005"/>
    <n v="0.06"/>
    <n v="3.9223631954023085E-2"/>
    <n v="-1872410"/>
    <n v="-4.8766252587991721"/>
    <n v="25.494834368530022"/>
  </r>
  <r>
    <x v="9"/>
    <x v="2"/>
    <n v="421000"/>
    <n v="12104090"/>
    <n v="0.05"/>
    <n v="3.478163166334685E-2"/>
    <n v="-1171686"/>
    <n v="-3.7831021377672207"/>
    <n v="28.750807600950118"/>
  </r>
  <r>
    <x v="9"/>
    <x v="3"/>
    <n v="450000"/>
    <n v="12961661"/>
    <n v="0.48"/>
    <n v="3.4717772668178867E-2"/>
    <n v="743117"/>
    <n v="0.65137111111111112"/>
    <n v="28.80369111111111"/>
  </r>
  <r>
    <x v="9"/>
    <x v="4"/>
    <n v="422000"/>
    <n v="11217282"/>
    <n v="0.05"/>
    <n v="3.7620521620121521E-2"/>
    <n v="174068"/>
    <n v="-0.58751658767772508"/>
    <n v="26.581236966824644"/>
  </r>
  <r>
    <x v="10"/>
    <x v="0"/>
    <n v="295000"/>
    <n v="14048575"/>
    <n v="0.06"/>
    <n v="2.0998571029446047E-2"/>
    <n v="4677128"/>
    <n v="14.854671186440678"/>
    <n v="47.622288135593223"/>
  </r>
  <r>
    <x v="10"/>
    <x v="1"/>
    <n v="364000"/>
    <n v="14132912"/>
    <n v="0.11"/>
    <n v="2.575548478615023E-2"/>
    <n v="1818907"/>
    <n v="3.9969972527472528"/>
    <n v="38.826681318681317"/>
  </r>
  <r>
    <x v="10"/>
    <x v="2"/>
    <n v="429000"/>
    <n v="14966778"/>
    <n v="0.36"/>
    <n v="2.8663483884106521E-2"/>
    <n v="2862688"/>
    <n v="5.6729324009324014"/>
    <n v="34.887594405594406"/>
  </r>
  <r>
    <x v="10"/>
    <x v="3"/>
    <n v="232000"/>
    <n v="11920662"/>
    <n v="0.18"/>
    <n v="1.9462006388571373E-2"/>
    <n v="-1040999"/>
    <n v="-5.4870646551724134"/>
    <n v="51.382163793103452"/>
  </r>
  <r>
    <x v="10"/>
    <x v="4"/>
    <n v="210000"/>
    <n v="11327145"/>
    <n v="0.28999999999999998"/>
    <n v="1.8539534896039558E-2"/>
    <n v="109863"/>
    <n v="-0.47684285714285712"/>
    <n v="53.938785714285714"/>
  </r>
  <r>
    <x v="11"/>
    <x v="0"/>
    <n v="497000"/>
    <n v="17461997"/>
    <n v="0.09"/>
    <n v="2.8461807661517752E-2"/>
    <n v="3413422"/>
    <n v="5.8680523138832994"/>
    <n v="35.134802816901406"/>
  </r>
  <r>
    <x v="11"/>
    <x v="1"/>
    <n v="370000"/>
    <n v="16893855"/>
    <n v="0.05"/>
    <n v="2.1901454700540522E-2"/>
    <n v="2760943"/>
    <n v="6.4620081081081082"/>
    <n v="45.659067567567568"/>
  </r>
  <r>
    <x v="11"/>
    <x v="2"/>
    <n v="435000"/>
    <n v="17199710"/>
    <n v="0.45"/>
    <n v="2.5291124094534153E-2"/>
    <n v="2232932"/>
    <n v="4.1331770114942525"/>
    <n v="39.539563218390803"/>
  </r>
  <r>
    <x v="11"/>
    <x v="3"/>
    <n v="446000"/>
    <n v="15893694"/>
    <n v="0.06"/>
    <n v="2.8061443739888284E-2"/>
    <n v="3973032"/>
    <n v="7.9081434977578473"/>
    <n v="35.636085201793719"/>
  </r>
  <r>
    <x v="11"/>
    <x v="4"/>
    <n v="252000"/>
    <n v="12160104"/>
    <n v="0.35"/>
    <n v="2.0723506970006179E-2"/>
    <n v="832959"/>
    <n v="2.305392857142857"/>
    <n v="48.254380952380956"/>
  </r>
  <r>
    <x v="12"/>
    <x v="0"/>
    <n v="435000"/>
    <n v="9935797"/>
    <n v="0.22"/>
    <n v="4.3781087717472487E-2"/>
    <n v="-7526200"/>
    <n v="-18.3016091954023"/>
    <n v="22.840912643678163"/>
  </r>
  <r>
    <x v="12"/>
    <x v="1"/>
    <n v="493000"/>
    <n v="10262459"/>
    <n v="0.59"/>
    <n v="4.8039168780114008E-2"/>
    <n v="-6631396"/>
    <n v="-14.451107505070993"/>
    <n v="20.816346855983774"/>
  </r>
  <r>
    <x v="12"/>
    <x v="2"/>
    <n v="289000"/>
    <n v="9212979"/>
    <n v="7.0000000000000007E-2"/>
    <n v="3.1368789617343101E-2"/>
    <n v="-7986731"/>
    <n v="-28.635747404844292"/>
    <n v="31.878820069204153"/>
  </r>
  <r>
    <x v="12"/>
    <x v="3"/>
    <n v="466000"/>
    <n v="11603452"/>
    <n v="0.05"/>
    <n v="4.0160462593373074E-2"/>
    <n v="-4290242"/>
    <n v="-10.206527896995707"/>
    <n v="24.900111587982831"/>
  </r>
  <r>
    <x v="12"/>
    <x v="4"/>
    <n v="360000"/>
    <n v="9847145"/>
    <n v="7.0000000000000007E-2"/>
    <n v="3.6558819840674633E-2"/>
    <n v="-2312959"/>
    <n v="-7.4248861111111113"/>
    <n v="27.353180555555557"/>
  </r>
  <r>
    <x v="13"/>
    <x v="0"/>
    <n v="356000"/>
    <n v="10406142"/>
    <n v="0.08"/>
    <n v="3.4210565260401019E-2"/>
    <n v="470345"/>
    <n v="0.3211938202247191"/>
    <n v="29.230735955056179"/>
  </r>
  <r>
    <x v="13"/>
    <x v="1"/>
    <n v="273000"/>
    <n v="10221606"/>
    <n v="7.0000000000000007E-2"/>
    <n v="2.670813177498722E-2"/>
    <n v="-40853"/>
    <n v="-1.1496446886446887"/>
    <n v="37.44178021978022"/>
  </r>
  <r>
    <x v="13"/>
    <x v="2"/>
    <n v="250000"/>
    <n v="9561322"/>
    <n v="0.1"/>
    <n v="2.6147011888105014E-2"/>
    <n v="348343"/>
    <n v="0.393372"/>
    <n v="38.245288000000002"/>
  </r>
  <r>
    <x v="13"/>
    <x v="3"/>
    <n v="371000"/>
    <n v="11446862"/>
    <n v="0.1"/>
    <n v="3.2410629218732612E-2"/>
    <n v="-156590"/>
    <n v="-1.4220754716981132"/>
    <n v="30.854075471698113"/>
  </r>
  <r>
    <x v="13"/>
    <x v="4"/>
    <n v="302000"/>
    <n v="10590331"/>
    <n v="0.65"/>
    <n v="2.8516577999308991E-2"/>
    <n v="743186"/>
    <n v="1.4608807947019868"/>
    <n v="35.067321192052979"/>
  </r>
  <r>
    <x v="14"/>
    <x v="0"/>
    <n v="354000"/>
    <n v="10078180"/>
    <n v="0.14000000000000001"/>
    <n v="3.5125389703299606E-2"/>
    <n v="-327962"/>
    <n v="-1.9264463276836159"/>
    <n v="28.469435028248586"/>
  </r>
  <r>
    <x v="14"/>
    <x v="1"/>
    <n v="328000"/>
    <n v="10409040"/>
    <n v="0.14000000000000001"/>
    <n v="3.1511071145850146E-2"/>
    <n v="187434"/>
    <n v="-0.42855487804878051"/>
    <n v="31.734878048780487"/>
  </r>
  <r>
    <x v="14"/>
    <x v="2"/>
    <n v="375000"/>
    <n v="10078701"/>
    <n v="0.15"/>
    <n v="3.7207175805691627E-2"/>
    <n v="517379"/>
    <n v="0.37967733333333331"/>
    <n v="26.876536000000002"/>
  </r>
  <r>
    <x v="14"/>
    <x v="3"/>
    <n v="416000"/>
    <n v="11612390"/>
    <n v="0.08"/>
    <n v="3.5823805435401326E-2"/>
    <n v="165528"/>
    <n v="-0.60209615384615389"/>
    <n v="27.914399038461539"/>
  </r>
  <r>
    <x v="14"/>
    <x v="4"/>
    <n v="334000"/>
    <n v="10221748"/>
    <n v="0.49"/>
    <n v="3.2675428899245018E-2"/>
    <n v="-368583"/>
    <n v="-2.1035419161676647"/>
    <n v="30.604035928143713"/>
  </r>
  <r>
    <x v="15"/>
    <x v="0"/>
    <n v="461000"/>
    <n v="13759959"/>
    <n v="0.37"/>
    <n v="3.3503006804017368E-2"/>
    <n v="3681779"/>
    <n v="6.986505422993492"/>
    <n v="29.848067245119307"/>
  </r>
  <r>
    <x v="15"/>
    <x v="1"/>
    <n v="436000"/>
    <n v="13641108"/>
    <n v="0.16"/>
    <n v="3.1962213040172396E-2"/>
    <n v="3232068"/>
    <n v="6.4130000000000003"/>
    <n v="31.28694495412844"/>
  </r>
  <r>
    <x v="15"/>
    <x v="2"/>
    <n v="406000"/>
    <n v="11672890"/>
    <n v="0.11"/>
    <n v="3.4781446582637203E-2"/>
    <n v="1594189"/>
    <n v="2.9265738916256159"/>
    <n v="28.750960591133005"/>
  </r>
  <r>
    <x v="15"/>
    <x v="3"/>
    <n v="462000"/>
    <n v="13298032"/>
    <n v="0.18"/>
    <n v="3.4741982873856825E-2"/>
    <n v="1685642"/>
    <n v="2.6485757575757574"/>
    <n v="28.783619047619048"/>
  </r>
  <r>
    <x v="15"/>
    <x v="4"/>
    <n v="203000"/>
    <n v="8786532"/>
    <n v="0.18"/>
    <n v="2.3103540737119035E-2"/>
    <n v="-1435216"/>
    <n v="-8.0700295566502458"/>
    <n v="43.283408866995075"/>
  </r>
  <r>
    <x v="16"/>
    <x v="0"/>
    <n v="413000"/>
    <n v="13868458"/>
    <n v="0.18"/>
    <n v="2.977980681053366E-2"/>
    <n v="108499"/>
    <n v="-0.73729055690072642"/>
    <n v="33.579801452784501"/>
  </r>
  <r>
    <x v="16"/>
    <x v="1"/>
    <n v="462000"/>
    <n v="13953688"/>
    <n v="0.06"/>
    <n v="3.310952631304355E-2"/>
    <n v="312580"/>
    <n v="-0.32341991341991344"/>
    <n v="30.202787878787881"/>
  </r>
  <r>
    <x v="16"/>
    <x v="2"/>
    <n v="352000"/>
    <n v="11645185"/>
    <n v="0.06"/>
    <n v="3.0227085271723894E-2"/>
    <n v="-27705"/>
    <n v="-1.0787073863636363"/>
    <n v="33.082911931818181"/>
  </r>
  <r>
    <x v="16"/>
    <x v="3"/>
    <n v="318000"/>
    <n v="12602597"/>
    <n v="0.44"/>
    <n v="2.5232894458181911E-2"/>
    <n v="-695435"/>
    <n v="-3.1869025157232707"/>
    <n v="39.630808176100629"/>
  </r>
  <r>
    <x v="16"/>
    <x v="4"/>
    <n v="347000"/>
    <n v="10838701"/>
    <n v="0.26"/>
    <n v="3.2014906583362708E-2"/>
    <n v="2052169"/>
    <n v="4.9140317002881844"/>
    <n v="31.235449567723343"/>
  </r>
  <r>
    <x v="17"/>
    <x v="0"/>
    <n v="370000"/>
    <n v="13277908"/>
    <n v="0.36"/>
    <n v="2.7865835491554844E-2"/>
    <n v="-590550"/>
    <n v="-2.5960810810810813"/>
    <n v="35.886237837837839"/>
  </r>
  <r>
    <x v="17"/>
    <x v="1"/>
    <n v="385000"/>
    <n v="12414707"/>
    <n v="0.32"/>
    <n v="3.101160583169623E-2"/>
    <n v="-1538981"/>
    <n v="-4.9973532467532467"/>
    <n v="32.245992207792206"/>
  </r>
  <r>
    <x v="17"/>
    <x v="2"/>
    <n v="364000"/>
    <n v="12720656"/>
    <n v="0.15"/>
    <n v="2.861487646549046E-2"/>
    <n v="1075471"/>
    <n v="1.9545906593406592"/>
    <n v="34.946857142857141"/>
  </r>
  <r>
    <x v="17"/>
    <x v="3"/>
    <n v="489000"/>
    <n v="13770172"/>
    <n v="0.08"/>
    <n v="3.5511538998931891E-2"/>
    <n v="1167575"/>
    <n v="1.387678936605317"/>
    <n v="28.159860940695296"/>
  </r>
  <r>
    <x v="17"/>
    <x v="4"/>
    <n v="211000"/>
    <n v="10179838"/>
    <n v="0.09"/>
    <n v="2.0727245364808359E-2"/>
    <n v="-658863"/>
    <n v="-4.1225734597156398"/>
    <n v="48.245677725118483"/>
  </r>
  <r>
    <x v="18"/>
    <x v="0"/>
    <n v="217000"/>
    <n v="12139138"/>
    <n v="0.22"/>
    <n v="1.7876063358040744E-2"/>
    <n v="-1138770"/>
    <n v="-6.2477880184331793"/>
    <n v="55.940728110599075"/>
  </r>
  <r>
    <x v="18"/>
    <x v="1"/>
    <n v="462000"/>
    <n v="16770862"/>
    <n v="0.32"/>
    <n v="2.7547778999075897E-2"/>
    <n v="4356155"/>
    <n v="8.4289069264069258"/>
    <n v="36.300567099567097"/>
  </r>
  <r>
    <x v="18"/>
    <x v="2"/>
    <n v="364000"/>
    <n v="14492256"/>
    <n v="0.27"/>
    <n v="2.5116862412587797E-2"/>
    <n v="1771600"/>
    <n v="3.8670329670329671"/>
    <n v="39.81389010989011"/>
  </r>
  <r>
    <x v="18"/>
    <x v="3"/>
    <n v="299000"/>
    <n v="14430808"/>
    <n v="0.05"/>
    <n v="2.0719560540199827E-2"/>
    <n v="660636"/>
    <n v="1.209484949832776"/>
    <n v="48.263571906354514"/>
  </r>
  <r>
    <x v="18"/>
    <x v="4"/>
    <n v="251000"/>
    <n v="13135579"/>
    <n v="0.14000000000000001"/>
    <n v="1.9108407783166619E-2"/>
    <n v="2955741"/>
    <n v="10.775860557768924"/>
    <n v="52.332984063745023"/>
  </r>
  <r>
    <x v="19"/>
    <x v="0"/>
    <n v="463000"/>
    <n v="14248212"/>
    <n v="0.25"/>
    <n v="3.2495305375860491E-2"/>
    <n v="2109074"/>
    <n v="3.5552354211663069"/>
    <n v="30.773676025917926"/>
  </r>
  <r>
    <x v="19"/>
    <x v="1"/>
    <n v="298000"/>
    <n v="11526950"/>
    <n v="0.41"/>
    <n v="2.5852458803065859E-2"/>
    <n v="-5243912"/>
    <n v="-18.597020134228188"/>
    <n v="38.681040268456378"/>
  </r>
  <r>
    <x v="19"/>
    <x v="2"/>
    <n v="244000"/>
    <n v="11731311"/>
    <n v="0.13"/>
    <n v="2.0799039425346409E-2"/>
    <n v="-2760945"/>
    <n v="-12.315348360655738"/>
    <n v="48.07914344262295"/>
  </r>
  <r>
    <x v="19"/>
    <x v="3"/>
    <n v="211000"/>
    <n v="11390192"/>
    <n v="7.0000000000000007E-2"/>
    <n v="1.8524709680047536E-2"/>
    <n v="-3040616"/>
    <n v="-15.410502369668247"/>
    <n v="53.981952606635069"/>
  </r>
  <r>
    <x v="19"/>
    <x v="4"/>
    <n v="463000"/>
    <n v="15050972"/>
    <n v="0.14000000000000001"/>
    <n v="3.0762132837666566E-2"/>
    <n v="1915393"/>
    <n v="3.1369179265658746"/>
    <n v="32.507498920086391"/>
  </r>
  <r>
    <x v="20"/>
    <x v="0"/>
    <n v="268000"/>
    <n v="9718553"/>
    <n v="0.1"/>
    <n v="2.7576121671610991E-2"/>
    <n v="-4529659"/>
    <n v="-17.901712686567166"/>
    <n v="36.263257462686568"/>
  </r>
  <r>
    <x v="20"/>
    <x v="1"/>
    <n v="264000"/>
    <n v="10833138"/>
    <n v="0.2"/>
    <n v="2.4369670173129892E-2"/>
    <n v="-693812"/>
    <n v="-3.6280757575757576"/>
    <n v="41.034613636363638"/>
  </r>
  <r>
    <x v="20"/>
    <x v="2"/>
    <n v="255000"/>
    <n v="11470851"/>
    <n v="0.05"/>
    <n v="2.2230259986813532E-2"/>
    <n v="-260460"/>
    <n v="-2.0214117647058822"/>
    <n v="44.983729411764706"/>
  </r>
  <r>
    <x v="20"/>
    <x v="3"/>
    <n v="356000"/>
    <n v="12786812"/>
    <n v="0.38"/>
    <n v="2.7841185121045026E-2"/>
    <n v="1396620"/>
    <n v="2.9230898876404496"/>
    <n v="35.918011235955056"/>
  </r>
  <r>
    <x v="20"/>
    <x v="4"/>
    <n v="289000"/>
    <n v="10971265"/>
    <n v="0.27"/>
    <n v="2.6341538555490183E-2"/>
    <n v="-4079707"/>
    <n v="-15.11663321799308"/>
    <n v="37.962854671280276"/>
  </r>
  <r>
    <x v="21"/>
    <x v="0"/>
    <n v="327000"/>
    <n v="10681023"/>
    <n v="0.12"/>
    <n v="3.0615045019564139E-2"/>
    <n v="962470"/>
    <n v="1.9433333333333334"/>
    <n v="32.663678899082569"/>
  </r>
  <r>
    <x v="21"/>
    <x v="1"/>
    <n v="250000"/>
    <n v="10060509"/>
    <n v="0.62"/>
    <n v="2.4849637329483032E-2"/>
    <n v="-772629"/>
    <n v="-4.090516"/>
    <n v="40.242035999999999"/>
  </r>
  <r>
    <x v="21"/>
    <x v="2"/>
    <n v="290000"/>
    <n v="11072414"/>
    <n v="0.12"/>
    <n v="2.6191217199790399E-2"/>
    <n v="-398437"/>
    <n v="-2.3739206896551726"/>
    <n v="38.180737931034486"/>
  </r>
  <r>
    <x v="21"/>
    <x v="3"/>
    <n v="413000"/>
    <n v="11915906"/>
    <n v="0.08"/>
    <n v="3.4659555051877719E-2"/>
    <n v="-870906"/>
    <n v="-3.1087312348668279"/>
    <n v="28.852072639225181"/>
  </r>
  <r>
    <x v="21"/>
    <x v="4"/>
    <n v="389000"/>
    <n v="11429115"/>
    <n v="0.06"/>
    <n v="3.4035881168401928E-2"/>
    <n v="457850"/>
    <n v="0.1769922879177378"/>
    <n v="29.380758354755784"/>
  </r>
  <r>
    <x v="22"/>
    <x v="0"/>
    <n v="372000"/>
    <n v="13702626"/>
    <n v="0.28999999999999998"/>
    <n v="2.7148080959080396E-2"/>
    <n v="3021603"/>
    <n v="7.1225887096774194"/>
    <n v="36.835016129032255"/>
  </r>
  <r>
    <x v="22"/>
    <x v="1"/>
    <n v="471000"/>
    <n v="16722082"/>
    <n v="0.09"/>
    <n v="2.8166349142409421E-2"/>
    <n v="6661573"/>
    <n v="13.143467091295117"/>
    <n v="35.503358811040343"/>
  </r>
  <r>
    <x v="22"/>
    <x v="2"/>
    <n v="356000"/>
    <n v="15100072"/>
    <n v="0.16"/>
    <n v="2.3576046524811274E-2"/>
    <n v="4027658"/>
    <n v="10.31364606741573"/>
    <n v="42.415932584269662"/>
  </r>
  <r>
    <x v="22"/>
    <x v="3"/>
    <n v="468000"/>
    <n v="15590059"/>
    <n v="0.2"/>
    <n v="3.0019129497842183E-2"/>
    <n v="3674153"/>
    <n v="6.8507542735042737"/>
    <n v="33.312091880341882"/>
  </r>
  <r>
    <x v="22"/>
    <x v="4"/>
    <n v="279000"/>
    <n v="12298177"/>
    <n v="0.26"/>
    <n v="2.2686289195544999E-2"/>
    <n v="869062"/>
    <n v="2.1149175627240142"/>
    <n v="44.079487455197132"/>
  </r>
  <r>
    <x v="23"/>
    <x v="0"/>
    <n v="213000"/>
    <n v="11935152"/>
    <n v="0.38"/>
    <n v="1.7846442173505624E-2"/>
    <n v="-1767474"/>
    <n v="-9.298"/>
    <n v="56.033577464788735"/>
  </r>
  <r>
    <x v="23"/>
    <x v="1"/>
    <n v="392000"/>
    <n v="15101566"/>
    <n v="0.09"/>
    <n v="2.5957572876879127E-2"/>
    <n v="-1620516"/>
    <n v="-5.1339693877551023"/>
    <n v="38.52440306122449"/>
  </r>
  <r>
    <x v="23"/>
    <x v="2"/>
    <n v="400000"/>
    <n v="15367017"/>
    <n v="0.1"/>
    <n v="2.602977532985094E-2"/>
    <n v="266945"/>
    <n v="-0.33263749999999997"/>
    <n v="38.417542500000003"/>
  </r>
  <r>
    <x v="23"/>
    <x v="3"/>
    <n v="342000"/>
    <n v="14577875"/>
    <n v="0.11"/>
    <n v="2.3460209392658395E-2"/>
    <n v="-1012184"/>
    <n v="-3.9596023391812865"/>
    <n v="42.625365497076025"/>
  </r>
  <r>
    <x v="23"/>
    <x v="4"/>
    <n v="470000"/>
    <n v="18866700"/>
    <n v="0.32"/>
    <n v="2.4911616763927977E-2"/>
    <n v="6568523"/>
    <n v="12.97558085106383"/>
    <n v="40.14191489361702"/>
  </r>
  <r>
    <x v="24"/>
    <x v="0"/>
    <n v="282000"/>
    <n v="9764192"/>
    <n v="0.1"/>
    <n v="2.8881037980408416E-2"/>
    <n v="-2170960"/>
    <n v="-8.6984397163120573"/>
    <n v="34.624794326241137"/>
  </r>
  <r>
    <x v="24"/>
    <x v="1"/>
    <n v="387000"/>
    <n v="9646859"/>
    <n v="0.15"/>
    <n v="4.0116684612058702E-2"/>
    <n v="-5454707"/>
    <n v="-15.094850129198967"/>
    <n v="24.927284237726099"/>
  </r>
  <r>
    <x v="24"/>
    <x v="2"/>
    <n v="218000"/>
    <n v="8091780"/>
    <n v="0.36"/>
    <n v="2.6940920291950596E-2"/>
    <n v="-7275237"/>
    <n v="-34.372646788990828"/>
    <n v="37.118256880733945"/>
  </r>
  <r>
    <x v="24"/>
    <x v="3"/>
    <n v="386000"/>
    <n v="9446086"/>
    <n v="0.21"/>
    <n v="4.0863485680735917E-2"/>
    <n v="-5131789"/>
    <n v="-14.294790155440415"/>
    <n v="24.471725388601037"/>
  </r>
  <r>
    <x v="24"/>
    <x v="4"/>
    <n v="362000"/>
    <n v="10726982"/>
    <n v="0.18"/>
    <n v="3.3746677304017106E-2"/>
    <n v="-8139718"/>
    <n v="-23.485408839779005"/>
    <n v="29.632546961325968"/>
  </r>
  <r>
    <x v="25"/>
    <x v="0"/>
    <n v="395000"/>
    <n v="10111050"/>
    <n v="0.05"/>
    <n v="3.9066170180149441E-2"/>
    <n v="346858"/>
    <n v="-0.12187848101265823"/>
    <n v="25.597594936708862"/>
  </r>
  <r>
    <x v="25"/>
    <x v="1"/>
    <n v="221000"/>
    <n v="8724897"/>
    <n v="0.31"/>
    <n v="2.5329811916404286E-2"/>
    <n v="-921962"/>
    <n v="-5.1717737556561083"/>
    <n v="39.47917194570136"/>
  </r>
  <r>
    <x v="25"/>
    <x v="2"/>
    <n v="283000"/>
    <n v="10246543"/>
    <n v="0.05"/>
    <n v="2.7619071134528005E-2"/>
    <n v="2154763"/>
    <n v="6.6140035335689049"/>
    <n v="36.206865724381629"/>
  </r>
  <r>
    <x v="25"/>
    <x v="3"/>
    <n v="374000"/>
    <n v="10596715"/>
    <n v="0.11"/>
    <n v="3.5293956664872082E-2"/>
    <n v="1150629"/>
    <n v="2.076548128342246"/>
    <n v="28.333462566844918"/>
  </r>
  <r>
    <x v="25"/>
    <x v="4"/>
    <n v="377000"/>
    <n v="9770156"/>
    <n v="0.48"/>
    <n v="3.8586896667770709E-2"/>
    <n v="-956826"/>
    <n v="-3.5379999999999998"/>
    <n v="25.915533156498675"/>
  </r>
  <r>
    <x v="26"/>
    <x v="0"/>
    <n v="393000"/>
    <n v="11869802"/>
    <n v="0.05"/>
    <n v="3.3109229623206858E-2"/>
    <n v="1758752"/>
    <n v="3.4751959287531808"/>
    <n v="30.203058524173027"/>
  </r>
  <r>
    <x v="26"/>
    <x v="1"/>
    <n v="288000"/>
    <n v="10221640"/>
    <n v="0.05"/>
    <n v="2.8175517822971657E-2"/>
    <n v="1496743"/>
    <n v="4.1970243055555558"/>
    <n v="35.491805555555558"/>
  </r>
  <r>
    <x v="26"/>
    <x v="2"/>
    <n v="236000"/>
    <n v="9629005"/>
    <n v="0.79"/>
    <n v="2.450928211170313E-2"/>
    <n v="-617538"/>
    <n v="-3.6166864406779662"/>
    <n v="40.800868644067798"/>
  </r>
  <r>
    <x v="26"/>
    <x v="3"/>
    <n v="297000"/>
    <n v="10642313"/>
    <n v="0.06"/>
    <n v="2.7907467107949183E-2"/>
    <n v="45598"/>
    <n v="-0.84647138047138049"/>
    <n v="35.8327037037037"/>
  </r>
  <r>
    <x v="26"/>
    <x v="4"/>
    <n v="234000"/>
    <n v="8693235"/>
    <n v="0.05"/>
    <n v="2.6917482387166573E-2"/>
    <n v="-1076921"/>
    <n v="-5.6022264957264953"/>
    <n v="37.150576923076926"/>
  </r>
  <r>
    <x v="27"/>
    <x v="0"/>
    <n v="303000"/>
    <n v="10200119"/>
    <n v="0.06"/>
    <n v="2.9705535788356979E-2"/>
    <n v="-1669683"/>
    <n v="-6.5105049504950498"/>
    <n v="33.663759075907592"/>
  </r>
  <r>
    <x v="27"/>
    <x v="1"/>
    <n v="441000"/>
    <n v="13622284"/>
    <n v="0.79"/>
    <n v="3.2373425777938558E-2"/>
    <n v="3400644"/>
    <n v="6.7112108843537417"/>
    <n v="30.889532879818596"/>
  </r>
  <r>
    <x v="27"/>
    <x v="2"/>
    <n v="328000"/>
    <n v="10026627"/>
    <n v="0.05"/>
    <n v="3.2712895373489009E-2"/>
    <n v="397622"/>
    <n v="0.21226219512195121"/>
    <n v="30.56898475609756"/>
  </r>
  <r>
    <x v="27"/>
    <x v="3"/>
    <n v="491000"/>
    <n v="11829206"/>
    <n v="0.05"/>
    <n v="4.1507435072142627E-2"/>
    <n v="1186893"/>
    <n v="1.4172973523421588"/>
    <n v="24.092069246435845"/>
  </r>
  <r>
    <x v="27"/>
    <x v="4"/>
    <n v="451000"/>
    <n v="13011268"/>
    <n v="0.05"/>
    <n v="3.4662263508829422E-2"/>
    <n v="4318033"/>
    <n v="8.5743525498891344"/>
    <n v="28.849818181818183"/>
  </r>
  <r>
    <x v="28"/>
    <x v="0"/>
    <n v="463000"/>
    <n v="13616512"/>
    <n v="0.06"/>
    <n v="3.4002834205999304E-2"/>
    <n v="3416393"/>
    <n v="6.3788185745140389"/>
    <n v="29.409313174946003"/>
  </r>
  <r>
    <x v="28"/>
    <x v="1"/>
    <n v="372000"/>
    <n v="11515771"/>
    <n v="0.23"/>
    <n v="3.2303525313242161E-2"/>
    <n v="-2106513"/>
    <n v="-6.6626693548387097"/>
    <n v="30.956373655913978"/>
  </r>
  <r>
    <x v="28"/>
    <x v="2"/>
    <n v="213000"/>
    <n v="9860504"/>
    <n v="7.0000000000000007E-2"/>
    <n v="2.1601329911736761E-2"/>
    <n v="-166123"/>
    <n v="-1.7799201877934272"/>
    <n v="46.293446009389669"/>
  </r>
  <r>
    <x v="28"/>
    <x v="3"/>
    <n v="420000"/>
    <n v="13811017"/>
    <n v="0.5"/>
    <n v="3.04105048889593E-2"/>
    <n v="1981811"/>
    <n v="3.7185976190476189"/>
    <n v="32.88337380952381"/>
  </r>
  <r>
    <x v="28"/>
    <x v="4"/>
    <n v="317000"/>
    <n v="11352418"/>
    <n v="0.14000000000000001"/>
    <n v="2.7923566591716409E-2"/>
    <n v="-1658850"/>
    <n v="-6.2329652996845422"/>
    <n v="35.812044164037857"/>
  </r>
  <r>
    <x v="29"/>
    <x v="0"/>
    <n v="450000"/>
    <n v="15620596"/>
    <n v="0.08"/>
    <n v="2.8808119741397832E-2"/>
    <n v="2004084"/>
    <n v="3.4535200000000001"/>
    <n v="34.712435555555558"/>
  </r>
  <r>
    <x v="29"/>
    <x v="1"/>
    <n v="476000"/>
    <n v="15333286"/>
    <n v="0.22"/>
    <n v="3.1043574091033064E-2"/>
    <n v="3817515"/>
    <n v="7.0199894957983195"/>
    <n v="32.212785714285715"/>
  </r>
  <r>
    <x v="29"/>
    <x v="2"/>
    <n v="300000"/>
    <n v="11704563"/>
    <n v="0.51"/>
    <n v="2.5631029539505235E-2"/>
    <n v="1844059"/>
    <n v="5.1468633333333331"/>
    <n v="39.015210000000003"/>
  </r>
  <r>
    <x v="29"/>
    <x v="3"/>
    <n v="250000"/>
    <n v="11870417"/>
    <n v="0.08"/>
    <n v="2.1060759702039113E-2"/>
    <n v="-1940600"/>
    <n v="-8.7623999999999995"/>
    <n v="47.481667999999999"/>
  </r>
  <r>
    <x v="29"/>
    <x v="4"/>
    <n v="394000"/>
    <n v="13413843"/>
    <n v="0.11"/>
    <n v="2.9372641382488227E-2"/>
    <n v="2061425"/>
    <n v="4.2320431472081221"/>
    <n v="34.045286802030454"/>
  </r>
  <r>
    <x v="30"/>
    <x v="0"/>
    <n v="290000"/>
    <n v="14018716"/>
    <n v="7.0000000000000007E-2"/>
    <n v="2.068663064434717E-2"/>
    <n v="-1601880"/>
    <n v="-6.5237241379310342"/>
    <n v="48.340400000000002"/>
  </r>
  <r>
    <x v="30"/>
    <x v="1"/>
    <n v="404000"/>
    <n v="16219687"/>
    <n v="0.08"/>
    <n v="2.490800223210226E-2"/>
    <n v="886401"/>
    <n v="1.1940618811881187"/>
    <n v="40.147740099009901"/>
  </r>
  <r>
    <x v="30"/>
    <x v="2"/>
    <n v="496000"/>
    <n v="17629105"/>
    <n v="0.69"/>
    <n v="2.8135291042852149E-2"/>
    <n v="5924542"/>
    <n v="10.944641129032258"/>
    <n v="35.542550403225803"/>
  </r>
  <r>
    <x v="30"/>
    <x v="3"/>
    <n v="328000"/>
    <n v="13059668"/>
    <n v="7.0000000000000007E-2"/>
    <n v="2.5115492981904287E-2"/>
    <n v="1189251"/>
    <n v="2.625765243902439"/>
    <n v="39.816060975609759"/>
  </r>
  <r>
    <x v="30"/>
    <x v="4"/>
    <n v="406000"/>
    <n v="16134697"/>
    <n v="0.09"/>
    <n v="2.5163162345100128E-2"/>
    <n v="2720854"/>
    <n v="5.701610837438424"/>
    <n v="39.74063300492611"/>
  </r>
  <r>
    <x v="31"/>
    <x v="0"/>
    <n v="210000"/>
    <n v="11598021"/>
    <n v="0.05"/>
    <n v="1.8106537313564097E-2"/>
    <n v="-2420695"/>
    <n v="-12.527119047619047"/>
    <n v="55.228671428571431"/>
  </r>
  <r>
    <x v="31"/>
    <x v="1"/>
    <n v="391000"/>
    <n v="14765223"/>
    <n v="0.5"/>
    <n v="2.6481144240083607E-2"/>
    <n v="-1454464"/>
    <n v="-4.7198567774936064"/>
    <n v="37.76271867007673"/>
  </r>
  <r>
    <x v="31"/>
    <x v="2"/>
    <n v="226000"/>
    <n v="9980041"/>
    <n v="0.05"/>
    <n v="2.2645197549789626E-2"/>
    <n v="-7649064"/>
    <n v="-34.84541592920354"/>
    <n v="44.159473451327436"/>
  </r>
  <r>
    <x v="31"/>
    <x v="3"/>
    <n v="290000"/>
    <n v="12679916"/>
    <n v="0.34"/>
    <n v="2.2870813970691919E-2"/>
    <n v="-379752"/>
    <n v="-2.3094896551724138"/>
    <n v="43.723848275862068"/>
  </r>
  <r>
    <x v="31"/>
    <x v="4"/>
    <n v="204000"/>
    <n v="10468129"/>
    <n v="0.06"/>
    <n v="1.9487723164282749E-2"/>
    <n v="-5666568"/>
    <n v="-28.77729411764706"/>
    <n v="51.314357843137252"/>
  </r>
  <r>
    <x v="32"/>
    <x v="0"/>
    <n v="307000"/>
    <n v="11313092"/>
    <n v="0.06"/>
    <n v="2.7136701442894658E-2"/>
    <n v="-284929"/>
    <n v="-1.9281074918566776"/>
    <n v="36.850462540716613"/>
  </r>
  <r>
    <x v="32"/>
    <x v="1"/>
    <n v="386000"/>
    <n v="12348882"/>
    <n v="0.31"/>
    <n v="3.1257890390401333E-2"/>
    <n v="-2416341"/>
    <n v="-7.2599507772020724"/>
    <n v="31.991922279792746"/>
  </r>
  <r>
    <x v="32"/>
    <x v="2"/>
    <n v="355000"/>
    <n v="13183269"/>
    <n v="0.12"/>
    <n v="2.6928070723581533E-2"/>
    <n v="3203228"/>
    <n v="8.0231774647887324"/>
    <n v="37.135969014084509"/>
  </r>
  <r>
    <x v="32"/>
    <x v="3"/>
    <n v="499000"/>
    <n v="14933693"/>
    <n v="0.13"/>
    <n v="3.3414373792202641E-2"/>
    <n v="2253777"/>
    <n v="3.5165871743486976"/>
    <n v="29.927240480961924"/>
  </r>
  <r>
    <x v="32"/>
    <x v="4"/>
    <n v="223000"/>
    <n v="9983010"/>
    <n v="0.38"/>
    <n v="2.2337952180755103E-2"/>
    <n v="-485119"/>
    <n v="-3.175421524663677"/>
    <n v="44.766860986547087"/>
  </r>
  <r>
    <x v="33"/>
    <x v="0"/>
    <n v="497000"/>
    <n v="11887376"/>
    <n v="0.05"/>
    <n v="4.1809058618150888E-2"/>
    <n v="574284"/>
    <n v="0.1555010060362173"/>
    <n v="23.918261569416497"/>
  </r>
  <r>
    <x v="33"/>
    <x v="1"/>
    <n v="295000"/>
    <n v="10565217"/>
    <n v="0.09"/>
    <n v="2.7921811733729651E-2"/>
    <n v="-1783665"/>
    <n v="-7.0463220338983055"/>
    <n v="35.814294915254237"/>
  </r>
  <r>
    <x v="33"/>
    <x v="2"/>
    <n v="495000"/>
    <n v="11663467"/>
    <n v="0.59"/>
    <n v="4.2440210959571456E-2"/>
    <n v="-1519802"/>
    <n v="-4.070307070707071"/>
    <n v="23.562559595959595"/>
  </r>
  <r>
    <x v="33"/>
    <x v="3"/>
    <n v="428000"/>
    <n v="12681661"/>
    <n v="0.08"/>
    <n v="3.3749522243182499E-2"/>
    <n v="-2252032"/>
    <n v="-6.2617570093457946"/>
    <n v="29.630049065420561"/>
  </r>
  <r>
    <x v="33"/>
    <x v="4"/>
    <n v="268000"/>
    <n v="9491006"/>
    <n v="0.19"/>
    <n v="2.8237259569744239E-2"/>
    <n v="-492004"/>
    <n v="-2.8358358208955226"/>
    <n v="35.414201492537316"/>
  </r>
  <r>
    <x v="34"/>
    <x v="0"/>
    <n v="457000"/>
    <n v="14659155"/>
    <n v="0.15"/>
    <n v="3.1175057498198225E-2"/>
    <n v="2771779"/>
    <n v="5.0651619256017506"/>
    <n v="32.076925601750546"/>
  </r>
  <r>
    <x v="34"/>
    <x v="1"/>
    <n v="306000"/>
    <n v="12503153"/>
    <n v="0.05"/>
    <n v="2.4473826721947655E-2"/>
    <n v="1937936"/>
    <n v="5.3331241830065359"/>
    <n v="40.859977124183004"/>
  </r>
  <r>
    <x v="34"/>
    <x v="2"/>
    <n v="342000"/>
    <n v="13084057"/>
    <n v="0.34"/>
    <n v="2.6138681603114385E-2"/>
    <n v="1420590"/>
    <n v="3.1537719298245612"/>
    <n v="38.257476608187133"/>
  </r>
  <r>
    <x v="34"/>
    <x v="3"/>
    <n v="415000"/>
    <n v="16291962"/>
    <n v="0.21"/>
    <n v="2.547268401436242E-2"/>
    <n v="3610301"/>
    <n v="7.6995204819277108"/>
    <n v="39.257739759036141"/>
  </r>
  <r>
    <x v="34"/>
    <x v="4"/>
    <n v="235000"/>
    <n v="12299452"/>
    <n v="0.25"/>
    <n v="1.9106542307738589E-2"/>
    <n v="2808446"/>
    <n v="10.950834042553192"/>
    <n v="52.338093617021279"/>
  </r>
  <r>
    <x v="35"/>
    <x v="0"/>
    <n v="226000"/>
    <n v="13515252"/>
    <n v="0.42"/>
    <n v="1.6721848767599745E-2"/>
    <n v="-1143903"/>
    <n v="-6.0615176991150443"/>
    <n v="59.802"/>
  </r>
  <r>
    <x v="35"/>
    <x v="1"/>
    <n v="421000"/>
    <n v="16628992"/>
    <n v="0.05"/>
    <n v="2.5317229090013393E-2"/>
    <n v="4125839"/>
    <n v="8.8000926365795724"/>
    <n v="39.498793349168643"/>
  </r>
  <r>
    <x v="35"/>
    <x v="2"/>
    <n v="276000"/>
    <n v="13785379"/>
    <n v="0.06"/>
    <n v="2.002121232938173E-2"/>
    <n v="701322"/>
    <n v="1.5410217391304348"/>
    <n v="49.94702536231884"/>
  </r>
  <r>
    <x v="35"/>
    <x v="3"/>
    <n v="331000"/>
    <n v="14035171"/>
    <n v="0.33"/>
    <n v="2.3583610060753803E-2"/>
    <n v="-2256791"/>
    <n v="-7.818099697885196"/>
    <n v="42.40232930513595"/>
  </r>
  <r>
    <x v="35"/>
    <x v="4"/>
    <n v="302000"/>
    <n v="13156272"/>
    <n v="0.14000000000000001"/>
    <n v="2.2954830973394288E-2"/>
    <n v="856820"/>
    <n v="1.8371523178807947"/>
    <n v="43.5638145695364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FE153-F89C-FB4C-BC13-F636E6149F2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42" firstHeaderRow="1" firstDataRow="3" firstDataCol="1"/>
  <pivotFields count="9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Col" showAll="0">
      <items count="6">
        <item x="4"/>
        <item x="0"/>
        <item x="1"/>
        <item x="3"/>
        <item x="2"/>
        <item t="default"/>
      </items>
    </pivotField>
    <pivotField dataField="1" numFmtId="166" showAll="0"/>
    <pivotField dataField="1" numFmtId="165" showAll="0"/>
    <pivotField numFmtId="9" showAll="0"/>
    <pivotField numFmtId="9" showAll="0"/>
    <pivotField showAll="0"/>
    <pivotField showAll="0"/>
    <pivotField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2">
    <field x="1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um of Media Budget" fld="2" baseField="0" baseItem="0" numFmtId="166"/>
    <dataField name="Sum of Revenue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BD51-B101-F744-A334-0463C8132A96}">
  <dimension ref="A1:Q182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12.1640625" style="7" customWidth="1"/>
    <col min="2" max="2" width="15.5" style="7" customWidth="1"/>
    <col min="3" max="3" width="15.5" style="10" customWidth="1"/>
    <col min="4" max="4" width="15.5" style="8" customWidth="1"/>
    <col min="5" max="5" width="18.6640625" style="9" customWidth="1"/>
    <col min="6" max="6" width="12.83203125" style="7" customWidth="1"/>
    <col min="7" max="11" width="16.5" style="7" customWidth="1"/>
    <col min="12" max="12" width="8.83203125" style="7"/>
    <col min="13" max="15" width="17.1640625" style="7" customWidth="1"/>
    <col min="16" max="16" width="18.1640625" style="7" customWidth="1"/>
    <col min="17" max="17" width="12" style="7" bestFit="1" customWidth="1"/>
    <col min="18" max="18" width="13.6640625" style="7" bestFit="1" customWidth="1"/>
    <col min="19" max="16384" width="8.83203125" style="7"/>
  </cols>
  <sheetData>
    <row r="1" spans="1:17" s="24" customFormat="1" ht="32" customHeight="1" x14ac:dyDescent="0.2">
      <c r="A1" s="18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2" t="s">
        <v>53</v>
      </c>
      <c r="G1" s="22" t="s">
        <v>101</v>
      </c>
      <c r="H1" s="22" t="s">
        <v>103</v>
      </c>
      <c r="I1" s="22" t="s">
        <v>102</v>
      </c>
      <c r="J1" s="23" t="s">
        <v>107</v>
      </c>
      <c r="L1" s="22" t="s">
        <v>54</v>
      </c>
      <c r="M1" s="22" t="s">
        <v>55</v>
      </c>
      <c r="N1" s="23" t="s">
        <v>108</v>
      </c>
      <c r="O1" s="23"/>
    </row>
    <row r="2" spans="1:17" x14ac:dyDescent="0.2">
      <c r="A2" s="7" t="s">
        <v>5</v>
      </c>
      <c r="B2" s="7" t="s">
        <v>6</v>
      </c>
      <c r="C2" s="10">
        <v>330000</v>
      </c>
      <c r="D2" s="8">
        <v>9736612</v>
      </c>
      <c r="E2" s="9">
        <v>0.11</v>
      </c>
      <c r="F2" s="9">
        <f>C2/D2</f>
        <v>3.3892692858665828E-2</v>
      </c>
      <c r="G2" s="7" t="str">
        <f>TEXT(A2,"mmm-yyyy")</f>
        <v>Jan-2020</v>
      </c>
      <c r="H2" s="7">
        <v>0</v>
      </c>
      <c r="I2" s="17">
        <f>(H2-C2)/C2</f>
        <v>-1</v>
      </c>
      <c r="J2" s="17">
        <f>D2/C2</f>
        <v>29.504884848484849</v>
      </c>
      <c r="L2" s="7" t="str" cm="1">
        <f t="array" ref="L2:L37">_xlfn.UNIQUE(G2:G181)</f>
        <v>Jan-2020</v>
      </c>
      <c r="M2" s="12">
        <f t="shared" ref="M2:M37" si="0">SUMIF($G$2:$G$181, L2, $D$2:$D$181)</f>
        <v>48238001</v>
      </c>
      <c r="N2" s="12">
        <f>SUMIF($G$2:$G$181, L2, $C$2:$C$181)</f>
        <v>1782000</v>
      </c>
      <c r="O2" s="10"/>
    </row>
    <row r="3" spans="1:17" x14ac:dyDescent="0.2">
      <c r="A3" s="7" t="s">
        <v>5</v>
      </c>
      <c r="B3" s="7" t="s">
        <v>7</v>
      </c>
      <c r="C3" s="10">
        <v>307000</v>
      </c>
      <c r="D3" s="8">
        <v>8815331</v>
      </c>
      <c r="E3" s="9">
        <v>0.31</v>
      </c>
      <c r="F3" s="9">
        <f t="shared" ref="F3:F66" si="1">C3/D3</f>
        <v>3.4825691740900028E-2</v>
      </c>
      <c r="G3" s="7" t="str">
        <f t="shared" ref="G3:G66" si="2">TEXT(A3,"mmm-yyyy")</f>
        <v>Jan-2020</v>
      </c>
      <c r="H3" s="7">
        <v>0</v>
      </c>
      <c r="I3" s="17">
        <f t="shared" ref="I3:I6" si="3">(H3-C3)/C3</f>
        <v>-1</v>
      </c>
      <c r="J3" s="17">
        <f t="shared" ref="J3:J66" si="4">D3/C3</f>
        <v>28.714433224755702</v>
      </c>
      <c r="L3" s="7" t="str">
        <v>Feb-2020</v>
      </c>
      <c r="M3" s="12">
        <f t="shared" si="0"/>
        <v>56370561</v>
      </c>
      <c r="N3" s="12">
        <f t="shared" ref="N3:N37" si="5">SUMIF($G$2:$G$181, L3, $C$2:$C$181)</f>
        <v>2073000</v>
      </c>
      <c r="O3" s="10"/>
      <c r="P3" s="7" t="s">
        <v>99</v>
      </c>
    </row>
    <row r="4" spans="1:17" x14ac:dyDescent="0.2">
      <c r="A4" s="7" t="s">
        <v>5</v>
      </c>
      <c r="B4" s="7" t="s">
        <v>8</v>
      </c>
      <c r="C4" s="10">
        <v>296000</v>
      </c>
      <c r="D4" s="8">
        <v>9801435</v>
      </c>
      <c r="E4" s="9">
        <v>0.31</v>
      </c>
      <c r="F4" s="9">
        <f t="shared" si="1"/>
        <v>3.0199659539649041E-2</v>
      </c>
      <c r="G4" s="7" t="str">
        <f t="shared" si="2"/>
        <v>Jan-2020</v>
      </c>
      <c r="H4" s="7">
        <v>0</v>
      </c>
      <c r="I4" s="17">
        <f t="shared" si="3"/>
        <v>-1</v>
      </c>
      <c r="J4" s="17">
        <f t="shared" si="4"/>
        <v>33.11295608108108</v>
      </c>
      <c r="L4" s="7" t="str">
        <v>Mar-2020</v>
      </c>
      <c r="M4" s="12">
        <f t="shared" si="0"/>
        <v>53481657</v>
      </c>
      <c r="N4" s="12">
        <f t="shared" si="5"/>
        <v>1751000</v>
      </c>
      <c r="O4" s="12"/>
      <c r="P4" s="7" t="s">
        <v>100</v>
      </c>
    </row>
    <row r="5" spans="1:17" x14ac:dyDescent="0.2">
      <c r="A5" s="7" t="s">
        <v>5</v>
      </c>
      <c r="B5" s="7" t="s">
        <v>9</v>
      </c>
      <c r="C5" s="10">
        <v>373000</v>
      </c>
      <c r="D5" s="8">
        <v>9681593</v>
      </c>
      <c r="E5" s="9">
        <v>0.09</v>
      </c>
      <c r="F5" s="9">
        <f t="shared" si="1"/>
        <v>3.8526717658963767E-2</v>
      </c>
      <c r="G5" s="7" t="str">
        <f t="shared" si="2"/>
        <v>Jan-2020</v>
      </c>
      <c r="H5" s="7">
        <v>0</v>
      </c>
      <c r="I5" s="17">
        <f t="shared" si="3"/>
        <v>-1</v>
      </c>
      <c r="J5" s="17">
        <f t="shared" si="4"/>
        <v>25.956013404825736</v>
      </c>
      <c r="L5" s="7" t="str">
        <v>Apr-2020</v>
      </c>
      <c r="M5" s="12">
        <f t="shared" si="0"/>
        <v>57494178</v>
      </c>
      <c r="N5" s="12">
        <f t="shared" si="5"/>
        <v>1837000</v>
      </c>
      <c r="O5" s="12"/>
      <c r="P5" s="7" t="s">
        <v>104</v>
      </c>
    </row>
    <row r="6" spans="1:17" x14ac:dyDescent="0.2">
      <c r="A6" s="7" t="s">
        <v>5</v>
      </c>
      <c r="B6" s="7" t="s">
        <v>10</v>
      </c>
      <c r="C6" s="10">
        <v>476000</v>
      </c>
      <c r="D6" s="8">
        <v>10203030</v>
      </c>
      <c r="E6" s="9">
        <v>0.18</v>
      </c>
      <c r="F6" s="9">
        <f t="shared" si="1"/>
        <v>4.6652808038396436E-2</v>
      </c>
      <c r="G6" s="7" t="str">
        <f t="shared" si="2"/>
        <v>Jan-2020</v>
      </c>
      <c r="H6" s="7">
        <v>0</v>
      </c>
      <c r="I6" s="17">
        <f t="shared" si="3"/>
        <v>-1</v>
      </c>
      <c r="J6" s="17">
        <f t="shared" si="4"/>
        <v>21.434936974789917</v>
      </c>
      <c r="L6" s="7" t="str">
        <v>May-2020</v>
      </c>
      <c r="M6" s="12">
        <f t="shared" si="0"/>
        <v>60790327</v>
      </c>
      <c r="N6" s="12">
        <f t="shared" si="5"/>
        <v>1881000</v>
      </c>
      <c r="O6" s="12"/>
      <c r="P6" s="7" t="s">
        <v>105</v>
      </c>
    </row>
    <row r="7" spans="1:17" x14ac:dyDescent="0.2">
      <c r="A7" s="7" t="s">
        <v>11</v>
      </c>
      <c r="B7" s="7" t="s">
        <v>6</v>
      </c>
      <c r="C7" s="10">
        <v>475000</v>
      </c>
      <c r="D7" s="8">
        <v>11907769</v>
      </c>
      <c r="E7" s="9">
        <v>0.05</v>
      </c>
      <c r="F7" s="9">
        <f t="shared" si="1"/>
        <v>3.9889923964766198E-2</v>
      </c>
      <c r="G7" s="7" t="str">
        <f t="shared" si="2"/>
        <v>Feb-2020</v>
      </c>
      <c r="H7" s="8">
        <f>D7-D2</f>
        <v>2171157</v>
      </c>
      <c r="I7" s="17">
        <f t="shared" ref="I7:I38" si="6">(H7-C7)/C7</f>
        <v>3.5708568421052633</v>
      </c>
      <c r="J7" s="17">
        <f>D7/C7</f>
        <v>25.068987368421052</v>
      </c>
      <c r="L7" s="7" t="str">
        <v>Jun-2020</v>
      </c>
      <c r="M7" s="12">
        <f t="shared" si="0"/>
        <v>62972714</v>
      </c>
      <c r="N7" s="12">
        <f t="shared" si="5"/>
        <v>1729000</v>
      </c>
      <c r="O7" s="12"/>
      <c r="P7" s="7" t="s">
        <v>106</v>
      </c>
    </row>
    <row r="8" spans="1:17" x14ac:dyDescent="0.2">
      <c r="A8" s="7" t="s">
        <v>11</v>
      </c>
      <c r="B8" s="7" t="s">
        <v>7</v>
      </c>
      <c r="C8" s="10">
        <v>365000</v>
      </c>
      <c r="D8" s="8">
        <v>10529568</v>
      </c>
      <c r="E8" s="9">
        <v>0.6</v>
      </c>
      <c r="F8" s="9">
        <f t="shared" si="1"/>
        <v>3.4664290120924236E-2</v>
      </c>
      <c r="G8" s="7" t="str">
        <f t="shared" si="2"/>
        <v>Feb-2020</v>
      </c>
      <c r="H8" s="8">
        <f>D8-D3</f>
        <v>1714237</v>
      </c>
      <c r="I8" s="17">
        <f t="shared" si="6"/>
        <v>3.6965397260273973</v>
      </c>
      <c r="J8" s="17">
        <f t="shared" si="4"/>
        <v>28.848131506849317</v>
      </c>
      <c r="L8" s="7" t="str">
        <v>Jul-2020</v>
      </c>
      <c r="M8" s="12">
        <f t="shared" si="0"/>
        <v>76680093</v>
      </c>
      <c r="N8" s="12">
        <f t="shared" si="5"/>
        <v>2048000</v>
      </c>
      <c r="O8" s="12"/>
      <c r="P8" s="7" t="s">
        <v>110</v>
      </c>
    </row>
    <row r="9" spans="1:17" x14ac:dyDescent="0.2">
      <c r="A9" s="7" t="s">
        <v>11</v>
      </c>
      <c r="B9" s="7" t="s">
        <v>8</v>
      </c>
      <c r="C9" s="10">
        <v>499000</v>
      </c>
      <c r="D9" s="8">
        <v>12804773</v>
      </c>
      <c r="E9" s="9">
        <v>0.1</v>
      </c>
      <c r="F9" s="9">
        <f t="shared" si="1"/>
        <v>3.8969843510697141E-2</v>
      </c>
      <c r="G9" s="7" t="str">
        <f t="shared" si="2"/>
        <v>Feb-2020</v>
      </c>
      <c r="H9" s="8">
        <f>D9-D4</f>
        <v>3003338</v>
      </c>
      <c r="I9" s="17">
        <f t="shared" si="6"/>
        <v>5.018713426853707</v>
      </c>
      <c r="J9" s="17">
        <f t="shared" si="4"/>
        <v>25.660867735470941</v>
      </c>
      <c r="L9" s="7" t="str">
        <v>Aug-2020</v>
      </c>
      <c r="M9" s="12">
        <f t="shared" si="0"/>
        <v>67691705</v>
      </c>
      <c r="N9" s="12">
        <f t="shared" si="5"/>
        <v>1990000</v>
      </c>
      <c r="O9" s="12"/>
      <c r="P9" s="7" t="s">
        <v>151</v>
      </c>
    </row>
    <row r="10" spans="1:17" x14ac:dyDescent="0.2">
      <c r="A10" s="7" t="s">
        <v>11</v>
      </c>
      <c r="B10" s="7" t="s">
        <v>9</v>
      </c>
      <c r="C10" s="10">
        <v>251000</v>
      </c>
      <c r="D10" s="8">
        <v>9383686</v>
      </c>
      <c r="E10" s="9">
        <v>0.19</v>
      </c>
      <c r="F10" s="9">
        <f t="shared" si="1"/>
        <v>2.6748550622857584E-2</v>
      </c>
      <c r="G10" s="7" t="str">
        <f t="shared" si="2"/>
        <v>Feb-2020</v>
      </c>
      <c r="H10" s="8">
        <f t="shared" ref="H10:H73" si="7">D10-D5</f>
        <v>-297907</v>
      </c>
      <c r="I10" s="17">
        <f t="shared" si="6"/>
        <v>-2.1868804780876494</v>
      </c>
      <c r="J10" s="17">
        <f t="shared" si="4"/>
        <v>37.385203187250994</v>
      </c>
      <c r="L10" s="7" t="str">
        <v>Sep-2020</v>
      </c>
      <c r="M10" s="12">
        <f t="shared" si="0"/>
        <v>61486792</v>
      </c>
      <c r="N10" s="12">
        <f t="shared" si="5"/>
        <v>1866000</v>
      </c>
      <c r="O10" s="12"/>
    </row>
    <row r="11" spans="1:17" x14ac:dyDescent="0.2">
      <c r="A11" s="7" t="s">
        <v>11</v>
      </c>
      <c r="B11" s="7" t="s">
        <v>10</v>
      </c>
      <c r="C11" s="10">
        <v>483000</v>
      </c>
      <c r="D11" s="8">
        <v>11744765</v>
      </c>
      <c r="E11" s="9">
        <v>0.06</v>
      </c>
      <c r="F11" s="9">
        <f t="shared" si="1"/>
        <v>4.1124705347446285E-2</v>
      </c>
      <c r="G11" s="7" t="str">
        <f t="shared" si="2"/>
        <v>Feb-2020</v>
      </c>
      <c r="H11" s="8">
        <f t="shared" si="7"/>
        <v>1541735</v>
      </c>
      <c r="I11" s="17">
        <f t="shared" si="6"/>
        <v>2.1919979296066252</v>
      </c>
      <c r="J11" s="17">
        <f t="shared" si="4"/>
        <v>24.316283643892341</v>
      </c>
      <c r="L11" s="7" t="str">
        <v>Oct-2020</v>
      </c>
      <c r="M11" s="12">
        <f t="shared" si="0"/>
        <v>57968485</v>
      </c>
      <c r="N11" s="12">
        <f t="shared" si="5"/>
        <v>2009000</v>
      </c>
      <c r="O11" s="12"/>
      <c r="P11" s="16"/>
    </row>
    <row r="12" spans="1:17" x14ac:dyDescent="0.2">
      <c r="A12" s="7" t="s">
        <v>12</v>
      </c>
      <c r="B12" s="7" t="s">
        <v>6</v>
      </c>
      <c r="C12" s="10">
        <v>413000</v>
      </c>
      <c r="D12" s="8">
        <v>10694756</v>
      </c>
      <c r="E12" s="9">
        <v>0.16</v>
      </c>
      <c r="F12" s="9">
        <f t="shared" si="1"/>
        <v>3.8617056808028162E-2</v>
      </c>
      <c r="G12" s="7" t="str">
        <f t="shared" si="2"/>
        <v>Mar-2020</v>
      </c>
      <c r="H12" s="8">
        <f t="shared" si="7"/>
        <v>-1213013</v>
      </c>
      <c r="I12" s="17">
        <f t="shared" si="6"/>
        <v>-3.9370774818401939</v>
      </c>
      <c r="J12" s="17">
        <f t="shared" si="4"/>
        <v>25.895292978208232</v>
      </c>
      <c r="L12" s="7" t="str">
        <v>Nov-2020</v>
      </c>
      <c r="M12" s="12">
        <f t="shared" si="0"/>
        <v>66396072</v>
      </c>
      <c r="N12" s="12">
        <f t="shared" si="5"/>
        <v>1530000</v>
      </c>
      <c r="O12" s="12"/>
      <c r="P12" s="7" t="s">
        <v>111</v>
      </c>
      <c r="Q12" s="10">
        <f>MIN(C2:C181)</f>
        <v>203000</v>
      </c>
    </row>
    <row r="13" spans="1:17" x14ac:dyDescent="0.2">
      <c r="A13" s="7" t="s">
        <v>12</v>
      </c>
      <c r="B13" s="7" t="s">
        <v>7</v>
      </c>
      <c r="C13" s="10">
        <v>464000</v>
      </c>
      <c r="D13" s="8">
        <v>13387633</v>
      </c>
      <c r="E13" s="9">
        <v>7.0000000000000007E-2</v>
      </c>
      <c r="F13" s="9">
        <f t="shared" si="1"/>
        <v>3.4658852688895792E-2</v>
      </c>
      <c r="G13" s="7" t="str">
        <f t="shared" si="2"/>
        <v>Mar-2020</v>
      </c>
      <c r="H13" s="8">
        <f t="shared" si="7"/>
        <v>2858065</v>
      </c>
      <c r="I13" s="17">
        <f t="shared" si="6"/>
        <v>5.1596228448275863</v>
      </c>
      <c r="J13" s="17">
        <f t="shared" si="4"/>
        <v>28.852657327586208</v>
      </c>
      <c r="L13" s="7" t="str">
        <v>Dec-2020</v>
      </c>
      <c r="M13" s="12">
        <f t="shared" si="0"/>
        <v>79609360</v>
      </c>
      <c r="N13" s="12">
        <f t="shared" si="5"/>
        <v>2000000</v>
      </c>
      <c r="O13" s="12"/>
      <c r="P13" s="7" t="s">
        <v>112</v>
      </c>
      <c r="Q13" s="10">
        <f>MAX(C2:C181)</f>
        <v>500000</v>
      </c>
    </row>
    <row r="14" spans="1:17" x14ac:dyDescent="0.2">
      <c r="A14" s="7" t="s">
        <v>12</v>
      </c>
      <c r="B14" s="7" t="s">
        <v>8</v>
      </c>
      <c r="C14" s="10">
        <v>330000</v>
      </c>
      <c r="D14" s="8">
        <v>10729381</v>
      </c>
      <c r="E14" s="9">
        <v>0.06</v>
      </c>
      <c r="F14" s="9">
        <f t="shared" si="1"/>
        <v>3.0756667136715529E-2</v>
      </c>
      <c r="G14" s="7" t="str">
        <f t="shared" si="2"/>
        <v>Mar-2020</v>
      </c>
      <c r="H14" s="8">
        <f t="shared" si="7"/>
        <v>-2075392</v>
      </c>
      <c r="I14" s="17">
        <f t="shared" si="6"/>
        <v>-7.2890666666666668</v>
      </c>
      <c r="J14" s="17">
        <f t="shared" si="4"/>
        <v>32.513275757575755</v>
      </c>
      <c r="L14" s="7" t="str">
        <v>Jan-2021</v>
      </c>
      <c r="M14" s="12">
        <f t="shared" si="0"/>
        <v>50861832</v>
      </c>
      <c r="N14" s="12">
        <f t="shared" si="5"/>
        <v>2043000</v>
      </c>
      <c r="O14" s="12"/>
    </row>
    <row r="15" spans="1:17" x14ac:dyDescent="0.2">
      <c r="A15" s="7" t="s">
        <v>12</v>
      </c>
      <c r="B15" s="7" t="s">
        <v>9</v>
      </c>
      <c r="C15" s="10">
        <v>251000</v>
      </c>
      <c r="D15" s="8">
        <v>9330606</v>
      </c>
      <c r="E15" s="9">
        <v>0.36</v>
      </c>
      <c r="F15" s="9">
        <f t="shared" si="1"/>
        <v>2.690071791692844E-2</v>
      </c>
      <c r="G15" s="7" t="str">
        <f t="shared" si="2"/>
        <v>Mar-2020</v>
      </c>
      <c r="H15" s="8">
        <f t="shared" si="7"/>
        <v>-53080</v>
      </c>
      <c r="I15" s="17">
        <f t="shared" si="6"/>
        <v>-1.2114741035856573</v>
      </c>
      <c r="J15" s="17">
        <f t="shared" si="4"/>
        <v>37.173729083665336</v>
      </c>
      <c r="L15" s="7" t="str">
        <v>Feb-2021</v>
      </c>
      <c r="M15" s="12">
        <f t="shared" si="0"/>
        <v>52226263</v>
      </c>
      <c r="N15" s="12">
        <f t="shared" si="5"/>
        <v>1552000</v>
      </c>
      <c r="O15" s="12"/>
    </row>
    <row r="16" spans="1:17" x14ac:dyDescent="0.2">
      <c r="A16" s="7" t="s">
        <v>12</v>
      </c>
      <c r="B16" s="7" t="s">
        <v>10</v>
      </c>
      <c r="C16" s="10">
        <v>293000</v>
      </c>
      <c r="D16" s="8">
        <v>9339281</v>
      </c>
      <c r="E16" s="9">
        <v>0.35</v>
      </c>
      <c r="F16" s="9">
        <f t="shared" si="1"/>
        <v>3.1372864784773045E-2</v>
      </c>
      <c r="G16" s="7" t="str">
        <f t="shared" si="2"/>
        <v>Mar-2020</v>
      </c>
      <c r="H16" s="8">
        <f t="shared" si="7"/>
        <v>-2405484</v>
      </c>
      <c r="I16" s="17">
        <f t="shared" si="6"/>
        <v>-9.2098430034129688</v>
      </c>
      <c r="J16" s="17">
        <f t="shared" si="4"/>
        <v>31.874679180887373</v>
      </c>
      <c r="L16" s="7" t="str">
        <v>Mar-2021</v>
      </c>
      <c r="M16" s="12">
        <f t="shared" si="0"/>
        <v>52400059</v>
      </c>
      <c r="N16" s="12">
        <f t="shared" si="5"/>
        <v>1807000</v>
      </c>
      <c r="O16" s="12"/>
    </row>
    <row r="17" spans="1:16" x14ac:dyDescent="0.2">
      <c r="A17" s="7" t="s">
        <v>13</v>
      </c>
      <c r="B17" s="7" t="s">
        <v>6</v>
      </c>
      <c r="C17" s="10">
        <v>266000</v>
      </c>
      <c r="D17" s="8">
        <v>9804550</v>
      </c>
      <c r="E17" s="9">
        <v>0.06</v>
      </c>
      <c r="F17" s="9">
        <f t="shared" si="1"/>
        <v>2.7130260950273089E-2</v>
      </c>
      <c r="G17" s="7" t="str">
        <f t="shared" si="2"/>
        <v>Apr-2020</v>
      </c>
      <c r="H17" s="8">
        <f t="shared" si="7"/>
        <v>-890206</v>
      </c>
      <c r="I17" s="17">
        <f t="shared" si="6"/>
        <v>-4.3466390977443607</v>
      </c>
      <c r="J17" s="17">
        <f t="shared" si="4"/>
        <v>36.859210526315792</v>
      </c>
      <c r="L17" s="7" t="str">
        <v>Apr-2021</v>
      </c>
      <c r="M17" s="12">
        <f t="shared" si="0"/>
        <v>61158521</v>
      </c>
      <c r="N17" s="12">
        <f t="shared" si="5"/>
        <v>1968000</v>
      </c>
      <c r="O17" s="12"/>
    </row>
    <row r="18" spans="1:16" x14ac:dyDescent="0.2">
      <c r="A18" s="7" t="s">
        <v>13</v>
      </c>
      <c r="B18" s="7" t="s">
        <v>7</v>
      </c>
      <c r="C18" s="10">
        <v>344000</v>
      </c>
      <c r="D18" s="8">
        <v>12385041</v>
      </c>
      <c r="E18" s="9">
        <v>0.49</v>
      </c>
      <c r="F18" s="9">
        <f t="shared" si="1"/>
        <v>2.7775442971888425E-2</v>
      </c>
      <c r="G18" s="7" t="str">
        <f t="shared" si="2"/>
        <v>Apr-2020</v>
      </c>
      <c r="H18" s="8">
        <f t="shared" si="7"/>
        <v>-1002592</v>
      </c>
      <c r="I18" s="17">
        <f t="shared" si="6"/>
        <v>-3.9145116279069767</v>
      </c>
      <c r="J18" s="17">
        <f t="shared" si="4"/>
        <v>36.003026162790697</v>
      </c>
      <c r="L18" s="7" t="str">
        <v>May-2021</v>
      </c>
      <c r="M18" s="12">
        <f t="shared" si="0"/>
        <v>62908629</v>
      </c>
      <c r="N18" s="12">
        <f t="shared" si="5"/>
        <v>1892000</v>
      </c>
      <c r="O18" s="12"/>
      <c r="P18" s="16"/>
    </row>
    <row r="19" spans="1:16" x14ac:dyDescent="0.2">
      <c r="A19" s="7" t="s">
        <v>13</v>
      </c>
      <c r="B19" s="7" t="s">
        <v>8</v>
      </c>
      <c r="C19" s="10">
        <v>394000</v>
      </c>
      <c r="D19" s="8">
        <v>10862673</v>
      </c>
      <c r="E19" s="9">
        <v>0.35</v>
      </c>
      <c r="F19" s="9">
        <f t="shared" si="1"/>
        <v>3.6270998860041169E-2</v>
      </c>
      <c r="G19" s="7" t="str">
        <f t="shared" si="2"/>
        <v>Apr-2020</v>
      </c>
      <c r="H19" s="8">
        <f t="shared" si="7"/>
        <v>133292</v>
      </c>
      <c r="I19" s="17">
        <f t="shared" si="6"/>
        <v>-0.66169543147208121</v>
      </c>
      <c r="J19" s="17">
        <f t="shared" si="4"/>
        <v>27.570236040609139</v>
      </c>
      <c r="L19" s="7" t="str">
        <v>Jun-2021</v>
      </c>
      <c r="M19" s="12">
        <f t="shared" si="0"/>
        <v>62363281</v>
      </c>
      <c r="N19" s="12">
        <f t="shared" si="5"/>
        <v>1819000</v>
      </c>
      <c r="O19" s="12"/>
      <c r="P19" s="10"/>
    </row>
    <row r="20" spans="1:16" x14ac:dyDescent="0.2">
      <c r="A20" s="7" t="s">
        <v>13</v>
      </c>
      <c r="B20" s="7" t="s">
        <v>9</v>
      </c>
      <c r="C20" s="10">
        <v>486000</v>
      </c>
      <c r="D20" s="8">
        <v>13031147</v>
      </c>
      <c r="E20" s="9">
        <v>0.05</v>
      </c>
      <c r="F20" s="9">
        <f t="shared" si="1"/>
        <v>3.7295258813364623E-2</v>
      </c>
      <c r="G20" s="7" t="str">
        <f t="shared" si="2"/>
        <v>Apr-2020</v>
      </c>
      <c r="H20" s="8">
        <f>D20-D15</f>
        <v>3700541</v>
      </c>
      <c r="I20" s="17">
        <f t="shared" si="6"/>
        <v>6.6142818930041152</v>
      </c>
      <c r="J20" s="17">
        <f t="shared" si="4"/>
        <v>26.813059670781893</v>
      </c>
      <c r="L20" s="7" t="str">
        <v>Jul-2021</v>
      </c>
      <c r="M20" s="12">
        <f t="shared" si="0"/>
        <v>70968643</v>
      </c>
      <c r="N20" s="12">
        <f t="shared" si="5"/>
        <v>1593000</v>
      </c>
      <c r="O20" s="12"/>
    </row>
    <row r="21" spans="1:16" x14ac:dyDescent="0.2">
      <c r="A21" s="7" t="s">
        <v>13</v>
      </c>
      <c r="B21" s="7" t="s">
        <v>10</v>
      </c>
      <c r="C21" s="10">
        <v>347000</v>
      </c>
      <c r="D21" s="8">
        <v>11410767</v>
      </c>
      <c r="E21" s="9">
        <v>0.05</v>
      </c>
      <c r="F21" s="9">
        <f t="shared" si="1"/>
        <v>3.040987516439517E-2</v>
      </c>
      <c r="G21" s="7" t="str">
        <f t="shared" si="2"/>
        <v>Apr-2020</v>
      </c>
      <c r="H21" s="8">
        <f t="shared" si="7"/>
        <v>2071486</v>
      </c>
      <c r="I21" s="17">
        <f t="shared" si="6"/>
        <v>4.9697002881844377</v>
      </c>
      <c r="J21" s="17">
        <f t="shared" si="4"/>
        <v>32.884054755043231</v>
      </c>
      <c r="L21" s="7" t="str">
        <v>Aug-2021</v>
      </c>
      <c r="M21" s="12">
        <f t="shared" si="0"/>
        <v>63947637</v>
      </c>
      <c r="N21" s="12">
        <f t="shared" si="5"/>
        <v>1679000</v>
      </c>
      <c r="O21" s="12"/>
      <c r="P21" s="8"/>
    </row>
    <row r="22" spans="1:16" x14ac:dyDescent="0.2">
      <c r="A22" s="7" t="s">
        <v>14</v>
      </c>
      <c r="B22" s="7" t="s">
        <v>6</v>
      </c>
      <c r="C22" s="10">
        <v>500000</v>
      </c>
      <c r="D22" s="8">
        <v>13547159</v>
      </c>
      <c r="E22" s="9">
        <v>0.06</v>
      </c>
      <c r="F22" s="9">
        <f t="shared" si="1"/>
        <v>3.6908107448949262E-2</v>
      </c>
      <c r="G22" s="7" t="str">
        <f t="shared" si="2"/>
        <v>May-2020</v>
      </c>
      <c r="H22" s="8">
        <f t="shared" si="7"/>
        <v>3742609</v>
      </c>
      <c r="I22" s="17">
        <f t="shared" si="6"/>
        <v>6.4852179999999997</v>
      </c>
      <c r="J22" s="17">
        <f t="shared" si="4"/>
        <v>27.094318000000001</v>
      </c>
      <c r="L22" s="7" t="str">
        <v>Sep-2021</v>
      </c>
      <c r="M22" s="12">
        <f t="shared" si="0"/>
        <v>55780619</v>
      </c>
      <c r="N22" s="12">
        <f t="shared" si="5"/>
        <v>1432000</v>
      </c>
      <c r="O22" s="12"/>
    </row>
    <row r="23" spans="1:16" x14ac:dyDescent="0.2">
      <c r="A23" s="7" t="s">
        <v>14</v>
      </c>
      <c r="B23" s="7" t="s">
        <v>7</v>
      </c>
      <c r="C23" s="10">
        <v>380000</v>
      </c>
      <c r="D23" s="8">
        <v>11241223</v>
      </c>
      <c r="E23" s="9">
        <v>0.08</v>
      </c>
      <c r="F23" s="9">
        <f t="shared" si="1"/>
        <v>3.3804151025204288E-2</v>
      </c>
      <c r="G23" s="7" t="str">
        <f t="shared" si="2"/>
        <v>May-2020</v>
      </c>
      <c r="H23" s="8">
        <f t="shared" si="7"/>
        <v>-1143818</v>
      </c>
      <c r="I23" s="17">
        <f t="shared" si="6"/>
        <v>-4.0100473684210529</v>
      </c>
      <c r="J23" s="17">
        <f t="shared" si="4"/>
        <v>29.582165789473684</v>
      </c>
      <c r="L23" s="7" t="str">
        <v>Oct-2021</v>
      </c>
      <c r="M23" s="12">
        <f t="shared" si="0"/>
        <v>55158967</v>
      </c>
      <c r="N23" s="12">
        <f t="shared" si="5"/>
        <v>1669000</v>
      </c>
      <c r="O23" s="12"/>
    </row>
    <row r="24" spans="1:16" x14ac:dyDescent="0.2">
      <c r="A24" s="7" t="s">
        <v>14</v>
      </c>
      <c r="B24" s="7" t="s">
        <v>8</v>
      </c>
      <c r="C24" s="10">
        <v>245000</v>
      </c>
      <c r="D24" s="8">
        <v>10147820</v>
      </c>
      <c r="E24" s="9">
        <v>0.25</v>
      </c>
      <c r="F24" s="9">
        <f t="shared" si="1"/>
        <v>2.4143116452597702E-2</v>
      </c>
      <c r="G24" s="7" t="str">
        <f t="shared" si="2"/>
        <v>May-2020</v>
      </c>
      <c r="H24" s="8">
        <f t="shared" si="7"/>
        <v>-714853</v>
      </c>
      <c r="I24" s="17">
        <f t="shared" si="6"/>
        <v>-3.9177673469387755</v>
      </c>
      <c r="J24" s="17">
        <f t="shared" si="4"/>
        <v>41.419673469387753</v>
      </c>
      <c r="L24" s="7" t="str">
        <v>Nov-2021</v>
      </c>
      <c r="M24" s="12">
        <f t="shared" si="0"/>
        <v>73413016</v>
      </c>
      <c r="N24" s="12">
        <f t="shared" si="5"/>
        <v>1946000</v>
      </c>
      <c r="O24" s="12"/>
    </row>
    <row r="25" spans="1:16" x14ac:dyDescent="0.2">
      <c r="A25" s="7" t="s">
        <v>14</v>
      </c>
      <c r="B25" s="7" t="s">
        <v>9</v>
      </c>
      <c r="C25" s="10">
        <v>270000</v>
      </c>
      <c r="D25" s="8">
        <v>11354628</v>
      </c>
      <c r="E25" s="9">
        <v>0.33</v>
      </c>
      <c r="F25" s="9">
        <f t="shared" si="1"/>
        <v>2.377885035071162E-2</v>
      </c>
      <c r="G25" s="7" t="str">
        <f t="shared" si="2"/>
        <v>May-2020</v>
      </c>
      <c r="H25" s="8">
        <f t="shared" si="7"/>
        <v>-1676519</v>
      </c>
      <c r="I25" s="17">
        <f t="shared" si="6"/>
        <v>-7.2093296296296296</v>
      </c>
      <c r="J25" s="17">
        <f t="shared" si="4"/>
        <v>42.054177777777781</v>
      </c>
      <c r="L25" s="7" t="str">
        <v>Dec-2021</v>
      </c>
      <c r="M25" s="12">
        <f t="shared" si="0"/>
        <v>75848310</v>
      </c>
      <c r="N25" s="12">
        <f t="shared" si="5"/>
        <v>1817000</v>
      </c>
      <c r="O25" s="12"/>
    </row>
    <row r="26" spans="1:16" x14ac:dyDescent="0.2">
      <c r="A26" s="7" t="s">
        <v>14</v>
      </c>
      <c r="B26" s="7" t="s">
        <v>10</v>
      </c>
      <c r="C26" s="10">
        <v>486000</v>
      </c>
      <c r="D26" s="8">
        <v>14499497</v>
      </c>
      <c r="E26" s="9">
        <v>0.28000000000000003</v>
      </c>
      <c r="F26" s="9">
        <f t="shared" si="1"/>
        <v>3.3518404121191239E-2</v>
      </c>
      <c r="G26" s="7" t="str">
        <f t="shared" si="2"/>
        <v>May-2020</v>
      </c>
      <c r="H26" s="8">
        <f t="shared" si="7"/>
        <v>3088730</v>
      </c>
      <c r="I26" s="17">
        <f t="shared" si="6"/>
        <v>5.3554115226337444</v>
      </c>
      <c r="J26" s="17">
        <f t="shared" si="4"/>
        <v>29.834355967078189</v>
      </c>
      <c r="L26" s="7" t="str">
        <v>Jan-2022</v>
      </c>
      <c r="M26" s="12">
        <f t="shared" si="0"/>
        <v>47675899</v>
      </c>
      <c r="N26" s="12">
        <f t="shared" si="5"/>
        <v>1635000</v>
      </c>
      <c r="O26" s="12"/>
    </row>
    <row r="27" spans="1:16" x14ac:dyDescent="0.2">
      <c r="A27" s="7" t="s">
        <v>15</v>
      </c>
      <c r="B27" s="7" t="s">
        <v>6</v>
      </c>
      <c r="C27" s="10">
        <v>474000</v>
      </c>
      <c r="D27" s="8">
        <v>14736236</v>
      </c>
      <c r="E27" s="9">
        <v>0.05</v>
      </c>
      <c r="F27" s="9">
        <f t="shared" si="1"/>
        <v>3.2165608639818204E-2</v>
      </c>
      <c r="G27" s="7" t="str">
        <f t="shared" si="2"/>
        <v>Jun-2020</v>
      </c>
      <c r="H27" s="8">
        <f t="shared" si="7"/>
        <v>1189077</v>
      </c>
      <c r="I27" s="17">
        <f t="shared" si="6"/>
        <v>1.5086012658227848</v>
      </c>
      <c r="J27" s="17">
        <f t="shared" si="4"/>
        <v>31.089105485232068</v>
      </c>
      <c r="L27" s="7" t="str">
        <v>Feb-2022</v>
      </c>
      <c r="M27" s="12">
        <f t="shared" si="0"/>
        <v>49449361</v>
      </c>
      <c r="N27" s="12">
        <f t="shared" si="5"/>
        <v>1650000</v>
      </c>
      <c r="O27" s="12"/>
    </row>
    <row r="28" spans="1:16" x14ac:dyDescent="0.2">
      <c r="A28" s="7" t="s">
        <v>15</v>
      </c>
      <c r="B28" s="7" t="s">
        <v>7</v>
      </c>
      <c r="C28" s="10">
        <v>482000</v>
      </c>
      <c r="D28" s="8">
        <v>16115195</v>
      </c>
      <c r="E28" s="9">
        <v>0.06</v>
      </c>
      <c r="F28" s="9">
        <f t="shared" si="1"/>
        <v>2.9909659796235787E-2</v>
      </c>
      <c r="G28" s="7" t="str">
        <f t="shared" si="2"/>
        <v>Jun-2020</v>
      </c>
      <c r="H28" s="8">
        <f t="shared" si="7"/>
        <v>4873972</v>
      </c>
      <c r="I28" s="17">
        <f t="shared" si="6"/>
        <v>9.111975103734439</v>
      </c>
      <c r="J28" s="17">
        <f t="shared" si="4"/>
        <v>33.434014522821577</v>
      </c>
      <c r="L28" s="7" t="str">
        <v>Mar-2022</v>
      </c>
      <c r="M28" s="12">
        <f t="shared" si="0"/>
        <v>51055995</v>
      </c>
      <c r="N28" s="12">
        <f t="shared" si="5"/>
        <v>1448000</v>
      </c>
      <c r="O28" s="12"/>
    </row>
    <row r="29" spans="1:16" x14ac:dyDescent="0.2">
      <c r="A29" s="7" t="s">
        <v>15</v>
      </c>
      <c r="B29" s="7" t="s">
        <v>8</v>
      </c>
      <c r="C29" s="10">
        <v>248000</v>
      </c>
      <c r="D29" s="8">
        <v>10240788</v>
      </c>
      <c r="E29" s="9">
        <v>0.74</v>
      </c>
      <c r="F29" s="9">
        <f t="shared" si="1"/>
        <v>2.4216886434911062E-2</v>
      </c>
      <c r="G29" s="7" t="str">
        <f t="shared" si="2"/>
        <v>Jun-2020</v>
      </c>
      <c r="H29" s="8">
        <f t="shared" si="7"/>
        <v>92968</v>
      </c>
      <c r="I29" s="17">
        <f t="shared" si="6"/>
        <v>-0.62512903225806449</v>
      </c>
      <c r="J29" s="17">
        <f t="shared" si="4"/>
        <v>41.293500000000002</v>
      </c>
      <c r="L29" s="7" t="str">
        <v>Apr-2022</v>
      </c>
      <c r="M29" s="12">
        <f t="shared" si="0"/>
        <v>58689504</v>
      </c>
      <c r="N29" s="12">
        <f t="shared" si="5"/>
        <v>2014000</v>
      </c>
      <c r="O29" s="12"/>
    </row>
    <row r="30" spans="1:16" x14ac:dyDescent="0.2">
      <c r="A30" s="7" t="s">
        <v>15</v>
      </c>
      <c r="B30" s="7" t="s">
        <v>9</v>
      </c>
      <c r="C30" s="10">
        <v>248000</v>
      </c>
      <c r="D30" s="8">
        <v>10288599</v>
      </c>
      <c r="E30" s="9">
        <v>0.1</v>
      </c>
      <c r="F30" s="9">
        <f t="shared" si="1"/>
        <v>2.4104350845047029E-2</v>
      </c>
      <c r="G30" s="7" t="str">
        <f t="shared" si="2"/>
        <v>Jun-2020</v>
      </c>
      <c r="H30" s="8">
        <f t="shared" si="7"/>
        <v>-1066029</v>
      </c>
      <c r="I30" s="17">
        <f t="shared" si="6"/>
        <v>-5.2985040322580641</v>
      </c>
      <c r="J30" s="17">
        <f t="shared" si="4"/>
        <v>41.486286290322582</v>
      </c>
      <c r="L30" s="7" t="str">
        <v>May-2022</v>
      </c>
      <c r="M30" s="12">
        <f t="shared" si="0"/>
        <v>60156222</v>
      </c>
      <c r="N30" s="12">
        <f t="shared" si="5"/>
        <v>1785000</v>
      </c>
      <c r="O30" s="12"/>
    </row>
    <row r="31" spans="1:16" x14ac:dyDescent="0.2">
      <c r="A31" s="7" t="s">
        <v>15</v>
      </c>
      <c r="B31" s="7" t="s">
        <v>10</v>
      </c>
      <c r="C31" s="10">
        <v>277000</v>
      </c>
      <c r="D31" s="8">
        <v>11591896</v>
      </c>
      <c r="E31" s="9">
        <v>0.05</v>
      </c>
      <c r="F31" s="9">
        <f t="shared" si="1"/>
        <v>2.3896004588032881E-2</v>
      </c>
      <c r="G31" s="7" t="str">
        <f t="shared" si="2"/>
        <v>Jun-2020</v>
      </c>
      <c r="H31" s="8">
        <f t="shared" si="7"/>
        <v>-2907601</v>
      </c>
      <c r="I31" s="17">
        <f t="shared" si="6"/>
        <v>-11.496754512635379</v>
      </c>
      <c r="J31" s="17">
        <f t="shared" si="4"/>
        <v>41.847999999999999</v>
      </c>
      <c r="L31" s="7" t="str">
        <v>Jun-2022</v>
      </c>
      <c r="M31" s="12">
        <f t="shared" si="0"/>
        <v>67942705</v>
      </c>
      <c r="N31" s="12">
        <f t="shared" si="5"/>
        <v>1870000</v>
      </c>
      <c r="O31" s="12"/>
    </row>
    <row r="32" spans="1:16" x14ac:dyDescent="0.2">
      <c r="A32" s="7" t="s">
        <v>16</v>
      </c>
      <c r="B32" s="7" t="s">
        <v>6</v>
      </c>
      <c r="C32" s="10">
        <v>490000</v>
      </c>
      <c r="D32" s="8">
        <v>17860046</v>
      </c>
      <c r="E32" s="9">
        <v>0.17</v>
      </c>
      <c r="F32" s="9">
        <f t="shared" si="1"/>
        <v>2.7435539639707535E-2</v>
      </c>
      <c r="G32" s="7" t="str">
        <f t="shared" si="2"/>
        <v>Jul-2020</v>
      </c>
      <c r="H32" s="8">
        <f t="shared" si="7"/>
        <v>3123810</v>
      </c>
      <c r="I32" s="17">
        <f t="shared" si="6"/>
        <v>5.3751224489795915</v>
      </c>
      <c r="J32" s="17">
        <f t="shared" si="4"/>
        <v>36.449073469387756</v>
      </c>
      <c r="L32" s="7" t="str">
        <v>Jul-2022</v>
      </c>
      <c r="M32" s="12">
        <f t="shared" si="0"/>
        <v>77061873</v>
      </c>
      <c r="N32" s="12">
        <f t="shared" si="5"/>
        <v>1924000</v>
      </c>
      <c r="O32" s="12"/>
    </row>
    <row r="33" spans="1:15" x14ac:dyDescent="0.2">
      <c r="A33" s="7" t="s">
        <v>16</v>
      </c>
      <c r="B33" s="7" t="s">
        <v>7</v>
      </c>
      <c r="C33" s="10">
        <v>384000</v>
      </c>
      <c r="D33" s="8">
        <v>14221163</v>
      </c>
      <c r="E33" s="9">
        <v>0.05</v>
      </c>
      <c r="F33" s="9">
        <f t="shared" si="1"/>
        <v>2.700201101696113E-2</v>
      </c>
      <c r="G33" s="7" t="str">
        <f t="shared" si="2"/>
        <v>Jul-2020</v>
      </c>
      <c r="H33" s="8">
        <f t="shared" si="7"/>
        <v>-1894032</v>
      </c>
      <c r="I33" s="17">
        <f t="shared" si="6"/>
        <v>-5.9323750000000004</v>
      </c>
      <c r="J33" s="17">
        <f t="shared" si="4"/>
        <v>37.034278645833332</v>
      </c>
      <c r="L33" s="7" t="str">
        <v>Aug-2022</v>
      </c>
      <c r="M33" s="12">
        <f t="shared" si="0"/>
        <v>59491330</v>
      </c>
      <c r="N33" s="12">
        <f t="shared" si="5"/>
        <v>1321000</v>
      </c>
      <c r="O33" s="12"/>
    </row>
    <row r="34" spans="1:15" x14ac:dyDescent="0.2">
      <c r="A34" s="7" t="s">
        <v>16</v>
      </c>
      <c r="B34" s="7" t="s">
        <v>8</v>
      </c>
      <c r="C34" s="10">
        <v>389000</v>
      </c>
      <c r="D34" s="8">
        <v>14771419</v>
      </c>
      <c r="E34" s="9">
        <v>0.31</v>
      </c>
      <c r="F34" s="9">
        <f t="shared" si="1"/>
        <v>2.6334639888016174E-2</v>
      </c>
      <c r="G34" s="7" t="str">
        <f t="shared" si="2"/>
        <v>Jul-2020</v>
      </c>
      <c r="H34" s="8">
        <f t="shared" si="7"/>
        <v>4530631</v>
      </c>
      <c r="I34" s="17">
        <f t="shared" si="6"/>
        <v>10.646866323907455</v>
      </c>
      <c r="J34" s="17">
        <f t="shared" si="4"/>
        <v>37.972799485861181</v>
      </c>
      <c r="L34" s="7" t="str">
        <v>Sep-2022</v>
      </c>
      <c r="M34" s="12">
        <f t="shared" si="0"/>
        <v>61761946</v>
      </c>
      <c r="N34" s="12">
        <f t="shared" si="5"/>
        <v>1770000</v>
      </c>
      <c r="O34" s="12"/>
    </row>
    <row r="35" spans="1:15" x14ac:dyDescent="0.2">
      <c r="A35" s="7" t="s">
        <v>16</v>
      </c>
      <c r="B35" s="7" t="s">
        <v>9</v>
      </c>
      <c r="C35" s="10">
        <v>383000</v>
      </c>
      <c r="D35" s="8">
        <v>14954651</v>
      </c>
      <c r="E35" s="9">
        <v>0.36</v>
      </c>
      <c r="F35" s="9">
        <f t="shared" si="1"/>
        <v>2.5610761494868722E-2</v>
      </c>
      <c r="G35" s="7" t="str">
        <f t="shared" si="2"/>
        <v>Jul-2020</v>
      </c>
      <c r="H35" s="8">
        <f t="shared" si="7"/>
        <v>4666052</v>
      </c>
      <c r="I35" s="17">
        <f t="shared" si="6"/>
        <v>11.182903394255876</v>
      </c>
      <c r="J35" s="17">
        <f t="shared" si="4"/>
        <v>39.046086161879899</v>
      </c>
      <c r="L35" s="7" t="str">
        <v>Oct-2022</v>
      </c>
      <c r="M35" s="12">
        <f t="shared" si="0"/>
        <v>56288727</v>
      </c>
      <c r="N35" s="12">
        <f t="shared" si="5"/>
        <v>1983000</v>
      </c>
      <c r="O35" s="12"/>
    </row>
    <row r="36" spans="1:15" x14ac:dyDescent="0.2">
      <c r="A36" s="7" t="s">
        <v>16</v>
      </c>
      <c r="B36" s="7" t="s">
        <v>10</v>
      </c>
      <c r="C36" s="10">
        <v>402000</v>
      </c>
      <c r="D36" s="8">
        <v>14872814</v>
      </c>
      <c r="E36" s="9">
        <v>0.11</v>
      </c>
      <c r="F36" s="9">
        <f t="shared" si="1"/>
        <v>2.7029182238142695E-2</v>
      </c>
      <c r="G36" s="7" t="str">
        <f t="shared" si="2"/>
        <v>Jul-2020</v>
      </c>
      <c r="H36" s="8">
        <f t="shared" si="7"/>
        <v>3280918</v>
      </c>
      <c r="I36" s="17">
        <f t="shared" si="6"/>
        <v>7.1614875621890546</v>
      </c>
      <c r="J36" s="17">
        <f t="shared" si="4"/>
        <v>36.997049751243779</v>
      </c>
      <c r="L36" s="7" t="str">
        <v>Nov-2022</v>
      </c>
      <c r="M36" s="12">
        <f t="shared" si="0"/>
        <v>68837779</v>
      </c>
      <c r="N36" s="12">
        <f t="shared" si="5"/>
        <v>1755000</v>
      </c>
      <c r="O36" s="12"/>
    </row>
    <row r="37" spans="1:15" x14ac:dyDescent="0.2">
      <c r="A37" s="7" t="s">
        <v>17</v>
      </c>
      <c r="B37" s="7" t="s">
        <v>6</v>
      </c>
      <c r="C37" s="10">
        <v>403000</v>
      </c>
      <c r="D37" s="8">
        <v>12503684</v>
      </c>
      <c r="E37" s="9">
        <v>0.05</v>
      </c>
      <c r="F37" s="9">
        <f t="shared" si="1"/>
        <v>3.2230501026737399E-2</v>
      </c>
      <c r="G37" s="7" t="str">
        <f t="shared" si="2"/>
        <v>Aug-2020</v>
      </c>
      <c r="H37" s="8">
        <f t="shared" si="7"/>
        <v>-5356362</v>
      </c>
      <c r="I37" s="17">
        <f t="shared" si="6"/>
        <v>-14.291220843672457</v>
      </c>
      <c r="J37" s="17">
        <f t="shared" si="4"/>
        <v>31.026511166253101</v>
      </c>
      <c r="L37" s="7" t="str">
        <v>Dec-2022</v>
      </c>
      <c r="M37" s="12">
        <f t="shared" si="0"/>
        <v>71121066</v>
      </c>
      <c r="N37" s="12">
        <f t="shared" si="5"/>
        <v>1556000</v>
      </c>
      <c r="O37" s="12"/>
    </row>
    <row r="38" spans="1:15" x14ac:dyDescent="0.2">
      <c r="A38" s="7" t="s">
        <v>17</v>
      </c>
      <c r="B38" s="7" t="s">
        <v>7</v>
      </c>
      <c r="C38" s="10">
        <v>234000</v>
      </c>
      <c r="D38" s="8">
        <v>11322046</v>
      </c>
      <c r="E38" s="9">
        <v>0.2</v>
      </c>
      <c r="F38" s="9">
        <f t="shared" si="1"/>
        <v>2.0667642579795208E-2</v>
      </c>
      <c r="G38" s="7" t="str">
        <f t="shared" si="2"/>
        <v>Aug-2020</v>
      </c>
      <c r="H38" s="8">
        <f t="shared" si="7"/>
        <v>-2899117</v>
      </c>
      <c r="I38" s="17">
        <f t="shared" si="6"/>
        <v>-13.389388888888888</v>
      </c>
      <c r="J38" s="17">
        <f t="shared" si="4"/>
        <v>48.384811965811963</v>
      </c>
    </row>
    <row r="39" spans="1:15" x14ac:dyDescent="0.2">
      <c r="A39" s="7" t="s">
        <v>17</v>
      </c>
      <c r="B39" s="7" t="s">
        <v>8</v>
      </c>
      <c r="C39" s="10">
        <v>476000</v>
      </c>
      <c r="D39" s="8">
        <v>16294948</v>
      </c>
      <c r="E39" s="9">
        <v>0.1</v>
      </c>
      <c r="F39" s="9">
        <f t="shared" si="1"/>
        <v>2.9211507763019558E-2</v>
      </c>
      <c r="G39" s="7" t="str">
        <f t="shared" si="2"/>
        <v>Aug-2020</v>
      </c>
      <c r="H39" s="8">
        <f t="shared" si="7"/>
        <v>1523529</v>
      </c>
      <c r="I39" s="17">
        <f t="shared" ref="I39:I70" si="8">(H39-C39)/C39</f>
        <v>2.2006911764705883</v>
      </c>
      <c r="J39" s="17">
        <f t="shared" si="4"/>
        <v>34.233084033613444</v>
      </c>
    </row>
    <row r="40" spans="1:15" x14ac:dyDescent="0.2">
      <c r="A40" s="7" t="s">
        <v>17</v>
      </c>
      <c r="B40" s="7" t="s">
        <v>9</v>
      </c>
      <c r="C40" s="10">
        <v>397000</v>
      </c>
      <c r="D40" s="8">
        <v>14019620</v>
      </c>
      <c r="E40" s="9">
        <v>0.5</v>
      </c>
      <c r="F40" s="9">
        <f t="shared" si="1"/>
        <v>2.8317457962484003E-2</v>
      </c>
      <c r="G40" s="7" t="str">
        <f t="shared" si="2"/>
        <v>Aug-2020</v>
      </c>
      <c r="H40" s="8">
        <f t="shared" si="7"/>
        <v>-935031</v>
      </c>
      <c r="I40" s="17">
        <f t="shared" si="8"/>
        <v>-3.355241813602015</v>
      </c>
      <c r="J40" s="17">
        <f t="shared" si="4"/>
        <v>35.313904282115871</v>
      </c>
    </row>
    <row r="41" spans="1:15" x14ac:dyDescent="0.2">
      <c r="A41" s="7" t="s">
        <v>17</v>
      </c>
      <c r="B41" s="7" t="s">
        <v>10</v>
      </c>
      <c r="C41" s="10">
        <v>480000</v>
      </c>
      <c r="D41" s="8">
        <v>13551407</v>
      </c>
      <c r="E41" s="9">
        <v>0.15</v>
      </c>
      <c r="F41" s="9">
        <f t="shared" si="1"/>
        <v>3.5420676244171549E-2</v>
      </c>
      <c r="G41" s="7" t="str">
        <f t="shared" si="2"/>
        <v>Aug-2020</v>
      </c>
      <c r="H41" s="8">
        <f t="shared" si="7"/>
        <v>-1321407</v>
      </c>
      <c r="I41" s="17">
        <f t="shared" si="8"/>
        <v>-3.7529312500000001</v>
      </c>
      <c r="J41" s="17">
        <f t="shared" si="4"/>
        <v>28.232097916666667</v>
      </c>
    </row>
    <row r="42" spans="1:15" x14ac:dyDescent="0.2">
      <c r="A42" s="7" t="s">
        <v>18</v>
      </c>
      <c r="B42" s="7" t="s">
        <v>6</v>
      </c>
      <c r="C42" s="10">
        <v>295000</v>
      </c>
      <c r="D42" s="8">
        <v>10762843</v>
      </c>
      <c r="E42" s="9">
        <v>0.15</v>
      </c>
      <c r="F42" s="9">
        <f t="shared" si="1"/>
        <v>2.7409114859335958E-2</v>
      </c>
      <c r="G42" s="7" t="str">
        <f t="shared" si="2"/>
        <v>Sep-2020</v>
      </c>
      <c r="H42" s="8">
        <f t="shared" si="7"/>
        <v>-1740841</v>
      </c>
      <c r="I42" s="17">
        <f t="shared" si="8"/>
        <v>-6.9011559322033902</v>
      </c>
      <c r="J42" s="17">
        <f t="shared" si="4"/>
        <v>36.484213559322036</v>
      </c>
    </row>
    <row r="43" spans="1:15" x14ac:dyDescent="0.2">
      <c r="A43" s="7" t="s">
        <v>18</v>
      </c>
      <c r="B43" s="7" t="s">
        <v>7</v>
      </c>
      <c r="C43" s="10">
        <v>492000</v>
      </c>
      <c r="D43" s="8">
        <v>14186415</v>
      </c>
      <c r="E43" s="9">
        <v>0.17</v>
      </c>
      <c r="F43" s="9">
        <f t="shared" si="1"/>
        <v>3.4681066358202547E-2</v>
      </c>
      <c r="G43" s="7" t="str">
        <f t="shared" si="2"/>
        <v>Sep-2020</v>
      </c>
      <c r="H43" s="8">
        <f t="shared" si="7"/>
        <v>2864369</v>
      </c>
      <c r="I43" s="17">
        <f t="shared" si="8"/>
        <v>4.821888211382114</v>
      </c>
      <c r="J43" s="17">
        <f t="shared" si="4"/>
        <v>28.834176829268294</v>
      </c>
    </row>
    <row r="44" spans="1:15" x14ac:dyDescent="0.2">
      <c r="A44" s="7" t="s">
        <v>18</v>
      </c>
      <c r="B44" s="7" t="s">
        <v>8</v>
      </c>
      <c r="C44" s="10">
        <v>400000</v>
      </c>
      <c r="D44" s="8">
        <v>13275776</v>
      </c>
      <c r="E44" s="9">
        <v>7.0000000000000007E-2</v>
      </c>
      <c r="F44" s="9">
        <f t="shared" si="1"/>
        <v>3.0130065466606244E-2</v>
      </c>
      <c r="G44" s="7" t="str">
        <f t="shared" si="2"/>
        <v>Sep-2020</v>
      </c>
      <c r="H44" s="8">
        <f t="shared" si="7"/>
        <v>-3019172</v>
      </c>
      <c r="I44" s="17">
        <f t="shared" si="8"/>
        <v>-8.5479299999999991</v>
      </c>
      <c r="J44" s="17">
        <f t="shared" si="4"/>
        <v>33.189439999999998</v>
      </c>
    </row>
    <row r="45" spans="1:15" x14ac:dyDescent="0.2">
      <c r="A45" s="7" t="s">
        <v>18</v>
      </c>
      <c r="B45" s="7" t="s">
        <v>9</v>
      </c>
      <c r="C45" s="10">
        <v>398000</v>
      </c>
      <c r="D45" s="8">
        <v>12218544</v>
      </c>
      <c r="E45" s="9">
        <v>0.53</v>
      </c>
      <c r="F45" s="9">
        <f t="shared" si="1"/>
        <v>3.2573439192100137E-2</v>
      </c>
      <c r="G45" s="7" t="str">
        <f t="shared" si="2"/>
        <v>Sep-2020</v>
      </c>
      <c r="H45" s="8">
        <f t="shared" si="7"/>
        <v>-1801076</v>
      </c>
      <c r="I45" s="17">
        <f t="shared" si="8"/>
        <v>-5.5253165829145727</v>
      </c>
      <c r="J45" s="17">
        <f t="shared" si="4"/>
        <v>30.699859296482412</v>
      </c>
    </row>
    <row r="46" spans="1:15" x14ac:dyDescent="0.2">
      <c r="A46" s="7" t="s">
        <v>18</v>
      </c>
      <c r="B46" s="7" t="s">
        <v>10</v>
      </c>
      <c r="C46" s="10">
        <v>281000</v>
      </c>
      <c r="D46" s="8">
        <v>11043214</v>
      </c>
      <c r="E46" s="9">
        <v>0.08</v>
      </c>
      <c r="F46" s="9">
        <f t="shared" si="1"/>
        <v>2.5445490778318702E-2</v>
      </c>
      <c r="G46" s="7" t="str">
        <f t="shared" si="2"/>
        <v>Sep-2020</v>
      </c>
      <c r="H46" s="8">
        <f t="shared" si="7"/>
        <v>-2508193</v>
      </c>
      <c r="I46" s="17">
        <f t="shared" si="8"/>
        <v>-9.9259537366548045</v>
      </c>
      <c r="J46" s="17">
        <f t="shared" si="4"/>
        <v>39.299693950177939</v>
      </c>
    </row>
    <row r="47" spans="1:15" x14ac:dyDescent="0.2">
      <c r="A47" s="7" t="s">
        <v>19</v>
      </c>
      <c r="B47" s="7" t="s">
        <v>6</v>
      </c>
      <c r="C47" s="10">
        <v>233000</v>
      </c>
      <c r="D47" s="8">
        <v>9371447</v>
      </c>
      <c r="E47" s="9">
        <v>0.36</v>
      </c>
      <c r="F47" s="9">
        <f t="shared" si="1"/>
        <v>2.4862755986348746E-2</v>
      </c>
      <c r="G47" s="7" t="str">
        <f t="shared" si="2"/>
        <v>Oct-2020</v>
      </c>
      <c r="H47" s="8">
        <f t="shared" si="7"/>
        <v>-1391396</v>
      </c>
      <c r="I47" s="17">
        <f t="shared" si="8"/>
        <v>-6.9716566523605152</v>
      </c>
      <c r="J47" s="17">
        <f t="shared" si="4"/>
        <v>40.2208025751073</v>
      </c>
    </row>
    <row r="48" spans="1:15" x14ac:dyDescent="0.2">
      <c r="A48" s="7" t="s">
        <v>19</v>
      </c>
      <c r="B48" s="7" t="s">
        <v>7</v>
      </c>
      <c r="C48" s="10">
        <v>483000</v>
      </c>
      <c r="D48" s="8">
        <v>12314005</v>
      </c>
      <c r="E48" s="9">
        <v>0.06</v>
      </c>
      <c r="F48" s="9">
        <f t="shared" si="1"/>
        <v>3.9223631954023085E-2</v>
      </c>
      <c r="G48" s="7" t="str">
        <f t="shared" si="2"/>
        <v>Oct-2020</v>
      </c>
      <c r="H48" s="8">
        <f t="shared" si="7"/>
        <v>-1872410</v>
      </c>
      <c r="I48" s="17">
        <f t="shared" si="8"/>
        <v>-4.8766252587991721</v>
      </c>
      <c r="J48" s="17">
        <f t="shared" si="4"/>
        <v>25.494834368530022</v>
      </c>
    </row>
    <row r="49" spans="1:10" x14ac:dyDescent="0.2">
      <c r="A49" s="7" t="s">
        <v>19</v>
      </c>
      <c r="B49" s="7" t="s">
        <v>8</v>
      </c>
      <c r="C49" s="10">
        <v>421000</v>
      </c>
      <c r="D49" s="8">
        <v>12104090</v>
      </c>
      <c r="E49" s="9">
        <v>0.05</v>
      </c>
      <c r="F49" s="9">
        <f t="shared" si="1"/>
        <v>3.478163166334685E-2</v>
      </c>
      <c r="G49" s="7" t="str">
        <f t="shared" si="2"/>
        <v>Oct-2020</v>
      </c>
      <c r="H49" s="8">
        <f t="shared" si="7"/>
        <v>-1171686</v>
      </c>
      <c r="I49" s="17">
        <f t="shared" si="8"/>
        <v>-3.7831021377672207</v>
      </c>
      <c r="J49" s="17">
        <f t="shared" si="4"/>
        <v>28.750807600950118</v>
      </c>
    </row>
    <row r="50" spans="1:10" x14ac:dyDescent="0.2">
      <c r="A50" s="7" t="s">
        <v>19</v>
      </c>
      <c r="B50" s="7" t="s">
        <v>9</v>
      </c>
      <c r="C50" s="10">
        <v>450000</v>
      </c>
      <c r="D50" s="8">
        <v>12961661</v>
      </c>
      <c r="E50" s="9">
        <v>0.48</v>
      </c>
      <c r="F50" s="9">
        <f t="shared" si="1"/>
        <v>3.4717772668178867E-2</v>
      </c>
      <c r="G50" s="7" t="str">
        <f t="shared" si="2"/>
        <v>Oct-2020</v>
      </c>
      <c r="H50" s="8">
        <f t="shared" si="7"/>
        <v>743117</v>
      </c>
      <c r="I50" s="17">
        <f t="shared" si="8"/>
        <v>0.65137111111111112</v>
      </c>
      <c r="J50" s="17">
        <f t="shared" si="4"/>
        <v>28.80369111111111</v>
      </c>
    </row>
    <row r="51" spans="1:10" x14ac:dyDescent="0.2">
      <c r="A51" s="7" t="s">
        <v>19</v>
      </c>
      <c r="B51" s="7" t="s">
        <v>10</v>
      </c>
      <c r="C51" s="10">
        <v>422000</v>
      </c>
      <c r="D51" s="8">
        <v>11217282</v>
      </c>
      <c r="E51" s="9">
        <v>0.05</v>
      </c>
      <c r="F51" s="9">
        <f t="shared" si="1"/>
        <v>3.7620521620121521E-2</v>
      </c>
      <c r="G51" s="7" t="str">
        <f t="shared" si="2"/>
        <v>Oct-2020</v>
      </c>
      <c r="H51" s="8">
        <f t="shared" si="7"/>
        <v>174068</v>
      </c>
      <c r="I51" s="17">
        <f t="shared" si="8"/>
        <v>-0.58751658767772508</v>
      </c>
      <c r="J51" s="17">
        <f t="shared" si="4"/>
        <v>26.581236966824644</v>
      </c>
    </row>
    <row r="52" spans="1:10" x14ac:dyDescent="0.2">
      <c r="A52" s="7" t="s">
        <v>20</v>
      </c>
      <c r="B52" s="7" t="s">
        <v>6</v>
      </c>
      <c r="C52" s="10">
        <v>295000</v>
      </c>
      <c r="D52" s="8">
        <v>14048575</v>
      </c>
      <c r="E52" s="9">
        <v>0.06</v>
      </c>
      <c r="F52" s="9">
        <f t="shared" si="1"/>
        <v>2.0998571029446047E-2</v>
      </c>
      <c r="G52" s="7" t="str">
        <f t="shared" si="2"/>
        <v>Nov-2020</v>
      </c>
      <c r="H52" s="8">
        <f t="shared" si="7"/>
        <v>4677128</v>
      </c>
      <c r="I52" s="17">
        <f t="shared" si="8"/>
        <v>14.854671186440678</v>
      </c>
      <c r="J52" s="17">
        <f t="shared" si="4"/>
        <v>47.622288135593223</v>
      </c>
    </row>
    <row r="53" spans="1:10" x14ac:dyDescent="0.2">
      <c r="A53" s="7" t="s">
        <v>20</v>
      </c>
      <c r="B53" s="7" t="s">
        <v>7</v>
      </c>
      <c r="C53" s="10">
        <v>364000</v>
      </c>
      <c r="D53" s="8">
        <v>14132912</v>
      </c>
      <c r="E53" s="9">
        <v>0.11</v>
      </c>
      <c r="F53" s="9">
        <f t="shared" si="1"/>
        <v>2.575548478615023E-2</v>
      </c>
      <c r="G53" s="7" t="str">
        <f t="shared" si="2"/>
        <v>Nov-2020</v>
      </c>
      <c r="H53" s="8">
        <f t="shared" si="7"/>
        <v>1818907</v>
      </c>
      <c r="I53" s="17">
        <f t="shared" si="8"/>
        <v>3.9969972527472528</v>
      </c>
      <c r="J53" s="17">
        <f t="shared" si="4"/>
        <v>38.826681318681317</v>
      </c>
    </row>
    <row r="54" spans="1:10" x14ac:dyDescent="0.2">
      <c r="A54" s="7" t="s">
        <v>20</v>
      </c>
      <c r="B54" s="7" t="s">
        <v>8</v>
      </c>
      <c r="C54" s="10">
        <v>429000</v>
      </c>
      <c r="D54" s="8">
        <v>14966778</v>
      </c>
      <c r="E54" s="9">
        <v>0.36</v>
      </c>
      <c r="F54" s="9">
        <f t="shared" si="1"/>
        <v>2.8663483884106521E-2</v>
      </c>
      <c r="G54" s="7" t="str">
        <f t="shared" si="2"/>
        <v>Nov-2020</v>
      </c>
      <c r="H54" s="8">
        <f t="shared" si="7"/>
        <v>2862688</v>
      </c>
      <c r="I54" s="17">
        <f t="shared" si="8"/>
        <v>5.6729324009324014</v>
      </c>
      <c r="J54" s="17">
        <f t="shared" si="4"/>
        <v>34.887594405594406</v>
      </c>
    </row>
    <row r="55" spans="1:10" x14ac:dyDescent="0.2">
      <c r="A55" s="7" t="s">
        <v>20</v>
      </c>
      <c r="B55" s="7" t="s">
        <v>9</v>
      </c>
      <c r="C55" s="10">
        <v>232000</v>
      </c>
      <c r="D55" s="8">
        <v>11920662</v>
      </c>
      <c r="E55" s="9">
        <v>0.18</v>
      </c>
      <c r="F55" s="9">
        <f t="shared" si="1"/>
        <v>1.9462006388571373E-2</v>
      </c>
      <c r="G55" s="7" t="str">
        <f t="shared" si="2"/>
        <v>Nov-2020</v>
      </c>
      <c r="H55" s="8">
        <f t="shared" si="7"/>
        <v>-1040999</v>
      </c>
      <c r="I55" s="17">
        <f t="shared" si="8"/>
        <v>-5.4870646551724134</v>
      </c>
      <c r="J55" s="17">
        <f t="shared" si="4"/>
        <v>51.382163793103452</v>
      </c>
    </row>
    <row r="56" spans="1:10" x14ac:dyDescent="0.2">
      <c r="A56" s="7" t="s">
        <v>20</v>
      </c>
      <c r="B56" s="7" t="s">
        <v>10</v>
      </c>
      <c r="C56" s="10">
        <v>210000</v>
      </c>
      <c r="D56" s="8">
        <v>11327145</v>
      </c>
      <c r="E56" s="9">
        <v>0.28999999999999998</v>
      </c>
      <c r="F56" s="9">
        <f t="shared" si="1"/>
        <v>1.8539534896039558E-2</v>
      </c>
      <c r="G56" s="7" t="str">
        <f t="shared" si="2"/>
        <v>Nov-2020</v>
      </c>
      <c r="H56" s="8">
        <f t="shared" si="7"/>
        <v>109863</v>
      </c>
      <c r="I56" s="17">
        <f t="shared" si="8"/>
        <v>-0.47684285714285712</v>
      </c>
      <c r="J56" s="17">
        <f t="shared" si="4"/>
        <v>53.938785714285714</v>
      </c>
    </row>
    <row r="57" spans="1:10" x14ac:dyDescent="0.2">
      <c r="A57" s="7" t="s">
        <v>21</v>
      </c>
      <c r="B57" s="7" t="s">
        <v>6</v>
      </c>
      <c r="C57" s="10">
        <v>497000</v>
      </c>
      <c r="D57" s="8">
        <v>17461997</v>
      </c>
      <c r="E57" s="9">
        <v>0.09</v>
      </c>
      <c r="F57" s="9">
        <f t="shared" si="1"/>
        <v>2.8461807661517752E-2</v>
      </c>
      <c r="G57" s="7" t="str">
        <f t="shared" si="2"/>
        <v>Dec-2020</v>
      </c>
      <c r="H57" s="8">
        <f t="shared" si="7"/>
        <v>3413422</v>
      </c>
      <c r="I57" s="17">
        <f t="shared" si="8"/>
        <v>5.8680523138832994</v>
      </c>
      <c r="J57" s="17">
        <f t="shared" si="4"/>
        <v>35.134802816901406</v>
      </c>
    </row>
    <row r="58" spans="1:10" x14ac:dyDescent="0.2">
      <c r="A58" s="7" t="s">
        <v>21</v>
      </c>
      <c r="B58" s="7" t="s">
        <v>7</v>
      </c>
      <c r="C58" s="10">
        <v>370000</v>
      </c>
      <c r="D58" s="8">
        <v>16893855</v>
      </c>
      <c r="E58" s="9">
        <v>0.05</v>
      </c>
      <c r="F58" s="9">
        <f t="shared" si="1"/>
        <v>2.1901454700540522E-2</v>
      </c>
      <c r="G58" s="7" t="str">
        <f t="shared" si="2"/>
        <v>Dec-2020</v>
      </c>
      <c r="H58" s="8">
        <f t="shared" si="7"/>
        <v>2760943</v>
      </c>
      <c r="I58" s="17">
        <f t="shared" si="8"/>
        <v>6.4620081081081082</v>
      </c>
      <c r="J58" s="17">
        <f t="shared" si="4"/>
        <v>45.659067567567568</v>
      </c>
    </row>
    <row r="59" spans="1:10" x14ac:dyDescent="0.2">
      <c r="A59" s="7" t="s">
        <v>21</v>
      </c>
      <c r="B59" s="7" t="s">
        <v>8</v>
      </c>
      <c r="C59" s="10">
        <v>435000</v>
      </c>
      <c r="D59" s="8">
        <v>17199710</v>
      </c>
      <c r="E59" s="9">
        <v>0.45</v>
      </c>
      <c r="F59" s="9">
        <f t="shared" si="1"/>
        <v>2.5291124094534153E-2</v>
      </c>
      <c r="G59" s="7" t="str">
        <f t="shared" si="2"/>
        <v>Dec-2020</v>
      </c>
      <c r="H59" s="8">
        <f t="shared" si="7"/>
        <v>2232932</v>
      </c>
      <c r="I59" s="17">
        <f t="shared" si="8"/>
        <v>4.1331770114942525</v>
      </c>
      <c r="J59" s="17">
        <f t="shared" si="4"/>
        <v>39.539563218390803</v>
      </c>
    </row>
    <row r="60" spans="1:10" x14ac:dyDescent="0.2">
      <c r="A60" s="7" t="s">
        <v>21</v>
      </c>
      <c r="B60" s="7" t="s">
        <v>9</v>
      </c>
      <c r="C60" s="10">
        <v>446000</v>
      </c>
      <c r="D60" s="8">
        <v>15893694</v>
      </c>
      <c r="E60" s="9">
        <v>0.06</v>
      </c>
      <c r="F60" s="9">
        <f t="shared" si="1"/>
        <v>2.8061443739888284E-2</v>
      </c>
      <c r="G60" s="7" t="str">
        <f t="shared" si="2"/>
        <v>Dec-2020</v>
      </c>
      <c r="H60" s="8">
        <f t="shared" si="7"/>
        <v>3973032</v>
      </c>
      <c r="I60" s="17">
        <f t="shared" si="8"/>
        <v>7.9081434977578473</v>
      </c>
      <c r="J60" s="17">
        <f t="shared" si="4"/>
        <v>35.636085201793719</v>
      </c>
    </row>
    <row r="61" spans="1:10" x14ac:dyDescent="0.2">
      <c r="A61" s="7" t="s">
        <v>21</v>
      </c>
      <c r="B61" s="7" t="s">
        <v>10</v>
      </c>
      <c r="C61" s="10">
        <v>252000</v>
      </c>
      <c r="D61" s="8">
        <v>12160104</v>
      </c>
      <c r="E61" s="9">
        <v>0.35</v>
      </c>
      <c r="F61" s="9">
        <f t="shared" si="1"/>
        <v>2.0723506970006179E-2</v>
      </c>
      <c r="G61" s="7" t="str">
        <f t="shared" si="2"/>
        <v>Dec-2020</v>
      </c>
      <c r="H61" s="8">
        <f t="shared" si="7"/>
        <v>832959</v>
      </c>
      <c r="I61" s="17">
        <f t="shared" si="8"/>
        <v>2.305392857142857</v>
      </c>
      <c r="J61" s="17">
        <f t="shared" si="4"/>
        <v>48.254380952380956</v>
      </c>
    </row>
    <row r="62" spans="1:10" x14ac:dyDescent="0.2">
      <c r="A62" s="7" t="s">
        <v>22</v>
      </c>
      <c r="B62" s="7" t="s">
        <v>6</v>
      </c>
      <c r="C62" s="10">
        <v>435000</v>
      </c>
      <c r="D62" s="8">
        <v>9935797</v>
      </c>
      <c r="E62" s="9">
        <v>0.22</v>
      </c>
      <c r="F62" s="9">
        <f t="shared" si="1"/>
        <v>4.3781087717472487E-2</v>
      </c>
      <c r="G62" s="7" t="str">
        <f t="shared" si="2"/>
        <v>Jan-2021</v>
      </c>
      <c r="H62" s="8">
        <f t="shared" si="7"/>
        <v>-7526200</v>
      </c>
      <c r="I62" s="17">
        <f t="shared" si="8"/>
        <v>-18.3016091954023</v>
      </c>
      <c r="J62" s="17">
        <f t="shared" si="4"/>
        <v>22.840912643678163</v>
      </c>
    </row>
    <row r="63" spans="1:10" x14ac:dyDescent="0.2">
      <c r="A63" s="7" t="s">
        <v>22</v>
      </c>
      <c r="B63" s="7" t="s">
        <v>7</v>
      </c>
      <c r="C63" s="10">
        <v>493000</v>
      </c>
      <c r="D63" s="8">
        <v>10262459</v>
      </c>
      <c r="E63" s="9">
        <v>0.59</v>
      </c>
      <c r="F63" s="9">
        <f t="shared" si="1"/>
        <v>4.8039168780114008E-2</v>
      </c>
      <c r="G63" s="7" t="str">
        <f t="shared" si="2"/>
        <v>Jan-2021</v>
      </c>
      <c r="H63" s="8">
        <f t="shared" si="7"/>
        <v>-6631396</v>
      </c>
      <c r="I63" s="17">
        <f t="shared" si="8"/>
        <v>-14.451107505070993</v>
      </c>
      <c r="J63" s="17">
        <f t="shared" si="4"/>
        <v>20.816346855983774</v>
      </c>
    </row>
    <row r="64" spans="1:10" x14ac:dyDescent="0.2">
      <c r="A64" s="7" t="s">
        <v>22</v>
      </c>
      <c r="B64" s="7" t="s">
        <v>8</v>
      </c>
      <c r="C64" s="10">
        <v>289000</v>
      </c>
      <c r="D64" s="8">
        <v>9212979</v>
      </c>
      <c r="E64" s="9">
        <v>7.0000000000000007E-2</v>
      </c>
      <c r="F64" s="9">
        <f t="shared" si="1"/>
        <v>3.1368789617343101E-2</v>
      </c>
      <c r="G64" s="7" t="str">
        <f t="shared" si="2"/>
        <v>Jan-2021</v>
      </c>
      <c r="H64" s="8">
        <f t="shared" si="7"/>
        <v>-7986731</v>
      </c>
      <c r="I64" s="17">
        <f t="shared" si="8"/>
        <v>-28.635747404844292</v>
      </c>
      <c r="J64" s="17">
        <f t="shared" si="4"/>
        <v>31.878820069204153</v>
      </c>
    </row>
    <row r="65" spans="1:10" x14ac:dyDescent="0.2">
      <c r="A65" s="7" t="s">
        <v>22</v>
      </c>
      <c r="B65" s="7" t="s">
        <v>9</v>
      </c>
      <c r="C65" s="10">
        <v>466000</v>
      </c>
      <c r="D65" s="8">
        <v>11603452</v>
      </c>
      <c r="E65" s="9">
        <v>0.05</v>
      </c>
      <c r="F65" s="9">
        <f t="shared" si="1"/>
        <v>4.0160462593373074E-2</v>
      </c>
      <c r="G65" s="7" t="str">
        <f t="shared" si="2"/>
        <v>Jan-2021</v>
      </c>
      <c r="H65" s="8">
        <f t="shared" si="7"/>
        <v>-4290242</v>
      </c>
      <c r="I65" s="17">
        <f t="shared" si="8"/>
        <v>-10.206527896995707</v>
      </c>
      <c r="J65" s="17">
        <f t="shared" si="4"/>
        <v>24.900111587982831</v>
      </c>
    </row>
    <row r="66" spans="1:10" x14ac:dyDescent="0.2">
      <c r="A66" s="7" t="s">
        <v>22</v>
      </c>
      <c r="B66" s="7" t="s">
        <v>10</v>
      </c>
      <c r="C66" s="10">
        <v>360000</v>
      </c>
      <c r="D66" s="8">
        <v>9847145</v>
      </c>
      <c r="E66" s="9">
        <v>7.0000000000000007E-2</v>
      </c>
      <c r="F66" s="9">
        <f t="shared" si="1"/>
        <v>3.6558819840674633E-2</v>
      </c>
      <c r="G66" s="7" t="str">
        <f t="shared" si="2"/>
        <v>Jan-2021</v>
      </c>
      <c r="H66" s="8">
        <f t="shared" si="7"/>
        <v>-2312959</v>
      </c>
      <c r="I66" s="17">
        <f t="shared" si="8"/>
        <v>-7.4248861111111113</v>
      </c>
      <c r="J66" s="17">
        <f t="shared" si="4"/>
        <v>27.353180555555557</v>
      </c>
    </row>
    <row r="67" spans="1:10" x14ac:dyDescent="0.2">
      <c r="A67" s="7" t="s">
        <v>23</v>
      </c>
      <c r="B67" s="7" t="s">
        <v>6</v>
      </c>
      <c r="C67" s="10">
        <v>356000</v>
      </c>
      <c r="D67" s="8">
        <v>10406142</v>
      </c>
      <c r="E67" s="9">
        <v>0.08</v>
      </c>
      <c r="F67" s="9">
        <f t="shared" ref="F67:F130" si="9">C67/D67</f>
        <v>3.4210565260401019E-2</v>
      </c>
      <c r="G67" s="7" t="str">
        <f t="shared" ref="G67:G130" si="10">TEXT(A67,"mmm-yyyy")</f>
        <v>Feb-2021</v>
      </c>
      <c r="H67" s="8">
        <f t="shared" si="7"/>
        <v>470345</v>
      </c>
      <c r="I67" s="17">
        <f t="shared" si="8"/>
        <v>0.3211938202247191</v>
      </c>
      <c r="J67" s="17">
        <f t="shared" ref="J67:J130" si="11">D67/C67</f>
        <v>29.230735955056179</v>
      </c>
    </row>
    <row r="68" spans="1:10" x14ac:dyDescent="0.2">
      <c r="A68" s="7" t="s">
        <v>23</v>
      </c>
      <c r="B68" s="7" t="s">
        <v>7</v>
      </c>
      <c r="C68" s="10">
        <v>273000</v>
      </c>
      <c r="D68" s="8">
        <v>10221606</v>
      </c>
      <c r="E68" s="9">
        <v>7.0000000000000007E-2</v>
      </c>
      <c r="F68" s="9">
        <f t="shared" si="9"/>
        <v>2.670813177498722E-2</v>
      </c>
      <c r="G68" s="7" t="str">
        <f t="shared" si="10"/>
        <v>Feb-2021</v>
      </c>
      <c r="H68" s="8">
        <f t="shared" si="7"/>
        <v>-40853</v>
      </c>
      <c r="I68" s="17">
        <f t="shared" si="8"/>
        <v>-1.1496446886446887</v>
      </c>
      <c r="J68" s="17">
        <f t="shared" si="11"/>
        <v>37.44178021978022</v>
      </c>
    </row>
    <row r="69" spans="1:10" x14ac:dyDescent="0.2">
      <c r="A69" s="7" t="s">
        <v>23</v>
      </c>
      <c r="B69" s="7" t="s">
        <v>8</v>
      </c>
      <c r="C69" s="10">
        <v>250000</v>
      </c>
      <c r="D69" s="8">
        <v>9561322</v>
      </c>
      <c r="E69" s="9">
        <v>0.1</v>
      </c>
      <c r="F69" s="9">
        <f t="shared" si="9"/>
        <v>2.6147011888105014E-2</v>
      </c>
      <c r="G69" s="7" t="str">
        <f t="shared" si="10"/>
        <v>Feb-2021</v>
      </c>
      <c r="H69" s="8">
        <f t="shared" si="7"/>
        <v>348343</v>
      </c>
      <c r="I69" s="17">
        <f t="shared" si="8"/>
        <v>0.393372</v>
      </c>
      <c r="J69" s="17">
        <f t="shared" si="11"/>
        <v>38.245288000000002</v>
      </c>
    </row>
    <row r="70" spans="1:10" x14ac:dyDescent="0.2">
      <c r="A70" s="7" t="s">
        <v>23</v>
      </c>
      <c r="B70" s="7" t="s">
        <v>9</v>
      </c>
      <c r="C70" s="10">
        <v>371000</v>
      </c>
      <c r="D70" s="8">
        <v>11446862</v>
      </c>
      <c r="E70" s="9">
        <v>0.1</v>
      </c>
      <c r="F70" s="9">
        <f t="shared" si="9"/>
        <v>3.2410629218732612E-2</v>
      </c>
      <c r="G70" s="7" t="str">
        <f t="shared" si="10"/>
        <v>Feb-2021</v>
      </c>
      <c r="H70" s="8">
        <f t="shared" si="7"/>
        <v>-156590</v>
      </c>
      <c r="I70" s="17">
        <f t="shared" si="8"/>
        <v>-1.4220754716981132</v>
      </c>
      <c r="J70" s="17">
        <f t="shared" si="11"/>
        <v>30.854075471698113</v>
      </c>
    </row>
    <row r="71" spans="1:10" x14ac:dyDescent="0.2">
      <c r="A71" s="7" t="s">
        <v>23</v>
      </c>
      <c r="B71" s="7" t="s">
        <v>10</v>
      </c>
      <c r="C71" s="10">
        <v>302000</v>
      </c>
      <c r="D71" s="8">
        <v>10590331</v>
      </c>
      <c r="E71" s="9">
        <v>0.65</v>
      </c>
      <c r="F71" s="9">
        <f t="shared" si="9"/>
        <v>2.8516577999308991E-2</v>
      </c>
      <c r="G71" s="7" t="str">
        <f t="shared" si="10"/>
        <v>Feb-2021</v>
      </c>
      <c r="H71" s="8">
        <f t="shared" si="7"/>
        <v>743186</v>
      </c>
      <c r="I71" s="17">
        <f t="shared" ref="I71" si="12">(H71-C71)/C71</f>
        <v>1.4608807947019868</v>
      </c>
      <c r="J71" s="17">
        <f t="shared" si="11"/>
        <v>35.067321192052979</v>
      </c>
    </row>
    <row r="72" spans="1:10" x14ac:dyDescent="0.2">
      <c r="A72" s="7" t="s">
        <v>24</v>
      </c>
      <c r="B72" s="7" t="s">
        <v>6</v>
      </c>
      <c r="C72" s="10">
        <v>354000</v>
      </c>
      <c r="D72" s="8">
        <v>10078180</v>
      </c>
      <c r="E72" s="9">
        <v>0.14000000000000001</v>
      </c>
      <c r="F72" s="9">
        <f t="shared" si="9"/>
        <v>3.5125389703299606E-2</v>
      </c>
      <c r="G72" s="7" t="str">
        <f t="shared" si="10"/>
        <v>Mar-2021</v>
      </c>
      <c r="H72" s="8">
        <f t="shared" si="7"/>
        <v>-327962</v>
      </c>
      <c r="I72" s="17">
        <f t="shared" ref="I72:I135" si="13">(H72-C72)/C72</f>
        <v>-1.9264463276836159</v>
      </c>
      <c r="J72" s="17">
        <f t="shared" si="11"/>
        <v>28.469435028248586</v>
      </c>
    </row>
    <row r="73" spans="1:10" x14ac:dyDescent="0.2">
      <c r="A73" s="7" t="s">
        <v>24</v>
      </c>
      <c r="B73" s="7" t="s">
        <v>7</v>
      </c>
      <c r="C73" s="10">
        <v>328000</v>
      </c>
      <c r="D73" s="8">
        <v>10409040</v>
      </c>
      <c r="E73" s="9">
        <v>0.14000000000000001</v>
      </c>
      <c r="F73" s="9">
        <f t="shared" si="9"/>
        <v>3.1511071145850146E-2</v>
      </c>
      <c r="G73" s="7" t="str">
        <f t="shared" si="10"/>
        <v>Mar-2021</v>
      </c>
      <c r="H73" s="8">
        <f t="shared" si="7"/>
        <v>187434</v>
      </c>
      <c r="I73" s="17">
        <f t="shared" si="13"/>
        <v>-0.42855487804878051</v>
      </c>
      <c r="J73" s="17">
        <f t="shared" si="11"/>
        <v>31.734878048780487</v>
      </c>
    </row>
    <row r="74" spans="1:10" x14ac:dyDescent="0.2">
      <c r="A74" s="7" t="s">
        <v>24</v>
      </c>
      <c r="B74" s="7" t="s">
        <v>8</v>
      </c>
      <c r="C74" s="10">
        <v>375000</v>
      </c>
      <c r="D74" s="8">
        <v>10078701</v>
      </c>
      <c r="E74" s="9">
        <v>0.15</v>
      </c>
      <c r="F74" s="9">
        <f t="shared" si="9"/>
        <v>3.7207175805691627E-2</v>
      </c>
      <c r="G74" s="7" t="str">
        <f t="shared" si="10"/>
        <v>Mar-2021</v>
      </c>
      <c r="H74" s="8">
        <f t="shared" ref="H74:H137" si="14">D74-D69</f>
        <v>517379</v>
      </c>
      <c r="I74" s="17">
        <f t="shared" si="13"/>
        <v>0.37967733333333331</v>
      </c>
      <c r="J74" s="17">
        <f t="shared" si="11"/>
        <v>26.876536000000002</v>
      </c>
    </row>
    <row r="75" spans="1:10" x14ac:dyDescent="0.2">
      <c r="A75" s="7" t="s">
        <v>24</v>
      </c>
      <c r="B75" s="7" t="s">
        <v>9</v>
      </c>
      <c r="C75" s="10">
        <v>416000</v>
      </c>
      <c r="D75" s="8">
        <v>11612390</v>
      </c>
      <c r="E75" s="9">
        <v>0.08</v>
      </c>
      <c r="F75" s="9">
        <f t="shared" si="9"/>
        <v>3.5823805435401326E-2</v>
      </c>
      <c r="G75" s="7" t="str">
        <f t="shared" si="10"/>
        <v>Mar-2021</v>
      </c>
      <c r="H75" s="8">
        <f t="shared" si="14"/>
        <v>165528</v>
      </c>
      <c r="I75" s="17">
        <f t="shared" si="13"/>
        <v>-0.60209615384615389</v>
      </c>
      <c r="J75" s="17">
        <f t="shared" si="11"/>
        <v>27.914399038461539</v>
      </c>
    </row>
    <row r="76" spans="1:10" x14ac:dyDescent="0.2">
      <c r="A76" s="7" t="s">
        <v>24</v>
      </c>
      <c r="B76" s="7" t="s">
        <v>10</v>
      </c>
      <c r="C76" s="10">
        <v>334000</v>
      </c>
      <c r="D76" s="8">
        <v>10221748</v>
      </c>
      <c r="E76" s="9">
        <v>0.49</v>
      </c>
      <c r="F76" s="9">
        <f t="shared" si="9"/>
        <v>3.2675428899245018E-2</v>
      </c>
      <c r="G76" s="7" t="str">
        <f t="shared" si="10"/>
        <v>Mar-2021</v>
      </c>
      <c r="H76" s="8">
        <f t="shared" si="14"/>
        <v>-368583</v>
      </c>
      <c r="I76" s="17">
        <f t="shared" si="13"/>
        <v>-2.1035419161676647</v>
      </c>
      <c r="J76" s="17">
        <f t="shared" si="11"/>
        <v>30.604035928143713</v>
      </c>
    </row>
    <row r="77" spans="1:10" x14ac:dyDescent="0.2">
      <c r="A77" s="7" t="s">
        <v>25</v>
      </c>
      <c r="B77" s="7" t="s">
        <v>6</v>
      </c>
      <c r="C77" s="10">
        <v>461000</v>
      </c>
      <c r="D77" s="8">
        <v>13759959</v>
      </c>
      <c r="E77" s="9">
        <v>0.37</v>
      </c>
      <c r="F77" s="9">
        <f t="shared" si="9"/>
        <v>3.3503006804017368E-2</v>
      </c>
      <c r="G77" s="7" t="str">
        <f t="shared" si="10"/>
        <v>Apr-2021</v>
      </c>
      <c r="H77" s="8">
        <f t="shared" si="14"/>
        <v>3681779</v>
      </c>
      <c r="I77" s="17">
        <f t="shared" si="13"/>
        <v>6.986505422993492</v>
      </c>
      <c r="J77" s="17">
        <f t="shared" si="11"/>
        <v>29.848067245119307</v>
      </c>
    </row>
    <row r="78" spans="1:10" x14ac:dyDescent="0.2">
      <c r="A78" s="7" t="s">
        <v>25</v>
      </c>
      <c r="B78" s="7" t="s">
        <v>7</v>
      </c>
      <c r="C78" s="10">
        <v>436000</v>
      </c>
      <c r="D78" s="8">
        <v>13641108</v>
      </c>
      <c r="E78" s="9">
        <v>0.16</v>
      </c>
      <c r="F78" s="9">
        <f t="shared" si="9"/>
        <v>3.1962213040172396E-2</v>
      </c>
      <c r="G78" s="7" t="str">
        <f t="shared" si="10"/>
        <v>Apr-2021</v>
      </c>
      <c r="H78" s="8">
        <f t="shared" si="14"/>
        <v>3232068</v>
      </c>
      <c r="I78" s="17">
        <f t="shared" si="13"/>
        <v>6.4130000000000003</v>
      </c>
      <c r="J78" s="17">
        <f t="shared" si="11"/>
        <v>31.28694495412844</v>
      </c>
    </row>
    <row r="79" spans="1:10" x14ac:dyDescent="0.2">
      <c r="A79" s="7" t="s">
        <v>25</v>
      </c>
      <c r="B79" s="7" t="s">
        <v>8</v>
      </c>
      <c r="C79" s="10">
        <v>406000</v>
      </c>
      <c r="D79" s="8">
        <v>11672890</v>
      </c>
      <c r="E79" s="9">
        <v>0.11</v>
      </c>
      <c r="F79" s="9">
        <f t="shared" si="9"/>
        <v>3.4781446582637203E-2</v>
      </c>
      <c r="G79" s="7" t="str">
        <f t="shared" si="10"/>
        <v>Apr-2021</v>
      </c>
      <c r="H79" s="8">
        <f t="shared" si="14"/>
        <v>1594189</v>
      </c>
      <c r="I79" s="17">
        <f t="shared" si="13"/>
        <v>2.9265738916256159</v>
      </c>
      <c r="J79" s="17">
        <f t="shared" si="11"/>
        <v>28.750960591133005</v>
      </c>
    </row>
    <row r="80" spans="1:10" x14ac:dyDescent="0.2">
      <c r="A80" s="7" t="s">
        <v>25</v>
      </c>
      <c r="B80" s="7" t="s">
        <v>9</v>
      </c>
      <c r="C80" s="10">
        <v>462000</v>
      </c>
      <c r="D80" s="8">
        <v>13298032</v>
      </c>
      <c r="E80" s="9">
        <v>0.18</v>
      </c>
      <c r="F80" s="9">
        <f t="shared" si="9"/>
        <v>3.4741982873856825E-2</v>
      </c>
      <c r="G80" s="7" t="str">
        <f t="shared" si="10"/>
        <v>Apr-2021</v>
      </c>
      <c r="H80" s="8">
        <f t="shared" si="14"/>
        <v>1685642</v>
      </c>
      <c r="I80" s="17">
        <f t="shared" si="13"/>
        <v>2.6485757575757574</v>
      </c>
      <c r="J80" s="17">
        <f t="shared" si="11"/>
        <v>28.783619047619048</v>
      </c>
    </row>
    <row r="81" spans="1:10" x14ac:dyDescent="0.2">
      <c r="A81" s="7" t="s">
        <v>25</v>
      </c>
      <c r="B81" s="7" t="s">
        <v>10</v>
      </c>
      <c r="C81" s="10">
        <v>203000</v>
      </c>
      <c r="D81" s="8">
        <v>8786532</v>
      </c>
      <c r="E81" s="9">
        <v>0.18</v>
      </c>
      <c r="F81" s="9">
        <f t="shared" si="9"/>
        <v>2.3103540737119035E-2</v>
      </c>
      <c r="G81" s="7" t="str">
        <f t="shared" si="10"/>
        <v>Apr-2021</v>
      </c>
      <c r="H81" s="8">
        <f t="shared" si="14"/>
        <v>-1435216</v>
      </c>
      <c r="I81" s="17">
        <f t="shared" si="13"/>
        <v>-8.0700295566502458</v>
      </c>
      <c r="J81" s="17">
        <f t="shared" si="11"/>
        <v>43.283408866995075</v>
      </c>
    </row>
    <row r="82" spans="1:10" x14ac:dyDescent="0.2">
      <c r="A82" s="7" t="s">
        <v>26</v>
      </c>
      <c r="B82" s="7" t="s">
        <v>6</v>
      </c>
      <c r="C82" s="10">
        <v>413000</v>
      </c>
      <c r="D82" s="8">
        <v>13868458</v>
      </c>
      <c r="E82" s="9">
        <v>0.18</v>
      </c>
      <c r="F82" s="9">
        <f t="shared" si="9"/>
        <v>2.977980681053366E-2</v>
      </c>
      <c r="G82" s="7" t="str">
        <f t="shared" si="10"/>
        <v>May-2021</v>
      </c>
      <c r="H82" s="8">
        <f t="shared" si="14"/>
        <v>108499</v>
      </c>
      <c r="I82" s="17">
        <f t="shared" si="13"/>
        <v>-0.73729055690072642</v>
      </c>
      <c r="J82" s="17">
        <f t="shared" si="11"/>
        <v>33.579801452784501</v>
      </c>
    </row>
    <row r="83" spans="1:10" x14ac:dyDescent="0.2">
      <c r="A83" s="7" t="s">
        <v>26</v>
      </c>
      <c r="B83" s="7" t="s">
        <v>7</v>
      </c>
      <c r="C83" s="10">
        <v>462000</v>
      </c>
      <c r="D83" s="8">
        <v>13953688</v>
      </c>
      <c r="E83" s="9">
        <v>0.06</v>
      </c>
      <c r="F83" s="9">
        <f t="shared" si="9"/>
        <v>3.310952631304355E-2</v>
      </c>
      <c r="G83" s="7" t="str">
        <f t="shared" si="10"/>
        <v>May-2021</v>
      </c>
      <c r="H83" s="8">
        <f t="shared" si="14"/>
        <v>312580</v>
      </c>
      <c r="I83" s="17">
        <f t="shared" si="13"/>
        <v>-0.32341991341991344</v>
      </c>
      <c r="J83" s="17">
        <f t="shared" si="11"/>
        <v>30.202787878787881</v>
      </c>
    </row>
    <row r="84" spans="1:10" x14ac:dyDescent="0.2">
      <c r="A84" s="7" t="s">
        <v>26</v>
      </c>
      <c r="B84" s="7" t="s">
        <v>8</v>
      </c>
      <c r="C84" s="10">
        <v>352000</v>
      </c>
      <c r="D84" s="8">
        <v>11645185</v>
      </c>
      <c r="E84" s="9">
        <v>0.06</v>
      </c>
      <c r="F84" s="9">
        <f t="shared" si="9"/>
        <v>3.0227085271723894E-2</v>
      </c>
      <c r="G84" s="7" t="str">
        <f t="shared" si="10"/>
        <v>May-2021</v>
      </c>
      <c r="H84" s="8">
        <f t="shared" si="14"/>
        <v>-27705</v>
      </c>
      <c r="I84" s="17">
        <f t="shared" si="13"/>
        <v>-1.0787073863636363</v>
      </c>
      <c r="J84" s="17">
        <f t="shared" si="11"/>
        <v>33.082911931818181</v>
      </c>
    </row>
    <row r="85" spans="1:10" x14ac:dyDescent="0.2">
      <c r="A85" s="7" t="s">
        <v>26</v>
      </c>
      <c r="B85" s="7" t="s">
        <v>9</v>
      </c>
      <c r="C85" s="10">
        <v>318000</v>
      </c>
      <c r="D85" s="8">
        <v>12602597</v>
      </c>
      <c r="E85" s="9">
        <v>0.44</v>
      </c>
      <c r="F85" s="9">
        <f t="shared" si="9"/>
        <v>2.5232894458181911E-2</v>
      </c>
      <c r="G85" s="7" t="str">
        <f t="shared" si="10"/>
        <v>May-2021</v>
      </c>
      <c r="H85" s="8">
        <f t="shared" si="14"/>
        <v>-695435</v>
      </c>
      <c r="I85" s="17">
        <f t="shared" si="13"/>
        <v>-3.1869025157232707</v>
      </c>
      <c r="J85" s="17">
        <f t="shared" si="11"/>
        <v>39.630808176100629</v>
      </c>
    </row>
    <row r="86" spans="1:10" x14ac:dyDescent="0.2">
      <c r="A86" s="7" t="s">
        <v>26</v>
      </c>
      <c r="B86" s="7" t="s">
        <v>10</v>
      </c>
      <c r="C86" s="10">
        <v>347000</v>
      </c>
      <c r="D86" s="8">
        <v>10838701</v>
      </c>
      <c r="E86" s="9">
        <v>0.26</v>
      </c>
      <c r="F86" s="9">
        <f t="shared" si="9"/>
        <v>3.2014906583362708E-2</v>
      </c>
      <c r="G86" s="7" t="str">
        <f t="shared" si="10"/>
        <v>May-2021</v>
      </c>
      <c r="H86" s="8">
        <f t="shared" si="14"/>
        <v>2052169</v>
      </c>
      <c r="I86" s="17">
        <f t="shared" si="13"/>
        <v>4.9140317002881844</v>
      </c>
      <c r="J86" s="17">
        <f t="shared" si="11"/>
        <v>31.235449567723343</v>
      </c>
    </row>
    <row r="87" spans="1:10" x14ac:dyDescent="0.2">
      <c r="A87" s="7" t="s">
        <v>27</v>
      </c>
      <c r="B87" s="7" t="s">
        <v>6</v>
      </c>
      <c r="C87" s="10">
        <v>370000</v>
      </c>
      <c r="D87" s="8">
        <v>13277908</v>
      </c>
      <c r="E87" s="9">
        <v>0.36</v>
      </c>
      <c r="F87" s="9">
        <f t="shared" si="9"/>
        <v>2.7865835491554844E-2</v>
      </c>
      <c r="G87" s="7" t="str">
        <f t="shared" si="10"/>
        <v>Jun-2021</v>
      </c>
      <c r="H87" s="8">
        <f t="shared" si="14"/>
        <v>-590550</v>
      </c>
      <c r="I87" s="17">
        <f t="shared" si="13"/>
        <v>-2.5960810810810813</v>
      </c>
      <c r="J87" s="17">
        <f t="shared" si="11"/>
        <v>35.886237837837839</v>
      </c>
    </row>
    <row r="88" spans="1:10" x14ac:dyDescent="0.2">
      <c r="A88" s="7" t="s">
        <v>27</v>
      </c>
      <c r="B88" s="7" t="s">
        <v>7</v>
      </c>
      <c r="C88" s="10">
        <v>385000</v>
      </c>
      <c r="D88" s="8">
        <v>12414707</v>
      </c>
      <c r="E88" s="9">
        <v>0.32</v>
      </c>
      <c r="F88" s="9">
        <f t="shared" si="9"/>
        <v>3.101160583169623E-2</v>
      </c>
      <c r="G88" s="7" t="str">
        <f t="shared" si="10"/>
        <v>Jun-2021</v>
      </c>
      <c r="H88" s="8">
        <f t="shared" si="14"/>
        <v>-1538981</v>
      </c>
      <c r="I88" s="17">
        <f t="shared" si="13"/>
        <v>-4.9973532467532467</v>
      </c>
      <c r="J88" s="17">
        <f t="shared" si="11"/>
        <v>32.245992207792206</v>
      </c>
    </row>
    <row r="89" spans="1:10" x14ac:dyDescent="0.2">
      <c r="A89" s="7" t="s">
        <v>27</v>
      </c>
      <c r="B89" s="7" t="s">
        <v>8</v>
      </c>
      <c r="C89" s="10">
        <v>364000</v>
      </c>
      <c r="D89" s="8">
        <v>12720656</v>
      </c>
      <c r="E89" s="9">
        <v>0.15</v>
      </c>
      <c r="F89" s="9">
        <f t="shared" si="9"/>
        <v>2.861487646549046E-2</v>
      </c>
      <c r="G89" s="7" t="str">
        <f t="shared" si="10"/>
        <v>Jun-2021</v>
      </c>
      <c r="H89" s="8">
        <f t="shared" si="14"/>
        <v>1075471</v>
      </c>
      <c r="I89" s="17">
        <f t="shared" si="13"/>
        <v>1.9545906593406592</v>
      </c>
      <c r="J89" s="17">
        <f t="shared" si="11"/>
        <v>34.946857142857141</v>
      </c>
    </row>
    <row r="90" spans="1:10" x14ac:dyDescent="0.2">
      <c r="A90" s="7" t="s">
        <v>27</v>
      </c>
      <c r="B90" s="7" t="s">
        <v>9</v>
      </c>
      <c r="C90" s="10">
        <v>489000</v>
      </c>
      <c r="D90" s="8">
        <v>13770172</v>
      </c>
      <c r="E90" s="9">
        <v>0.08</v>
      </c>
      <c r="F90" s="9">
        <f t="shared" si="9"/>
        <v>3.5511538998931891E-2</v>
      </c>
      <c r="G90" s="7" t="str">
        <f t="shared" si="10"/>
        <v>Jun-2021</v>
      </c>
      <c r="H90" s="8">
        <f t="shared" si="14"/>
        <v>1167575</v>
      </c>
      <c r="I90" s="17">
        <f t="shared" si="13"/>
        <v>1.387678936605317</v>
      </c>
      <c r="J90" s="17">
        <f t="shared" si="11"/>
        <v>28.159860940695296</v>
      </c>
    </row>
    <row r="91" spans="1:10" x14ac:dyDescent="0.2">
      <c r="A91" s="7" t="s">
        <v>27</v>
      </c>
      <c r="B91" s="7" t="s">
        <v>10</v>
      </c>
      <c r="C91" s="10">
        <v>211000</v>
      </c>
      <c r="D91" s="8">
        <v>10179838</v>
      </c>
      <c r="E91" s="9">
        <v>0.09</v>
      </c>
      <c r="F91" s="9">
        <f t="shared" si="9"/>
        <v>2.0727245364808359E-2</v>
      </c>
      <c r="G91" s="7" t="str">
        <f t="shared" si="10"/>
        <v>Jun-2021</v>
      </c>
      <c r="H91" s="8">
        <f t="shared" si="14"/>
        <v>-658863</v>
      </c>
      <c r="I91" s="17">
        <f t="shared" si="13"/>
        <v>-4.1225734597156398</v>
      </c>
      <c r="J91" s="17">
        <f t="shared" si="11"/>
        <v>48.245677725118483</v>
      </c>
    </row>
    <row r="92" spans="1:10" x14ac:dyDescent="0.2">
      <c r="A92" s="7" t="s">
        <v>28</v>
      </c>
      <c r="B92" s="7" t="s">
        <v>6</v>
      </c>
      <c r="C92" s="10">
        <v>217000</v>
      </c>
      <c r="D92" s="8">
        <v>12139138</v>
      </c>
      <c r="E92" s="9">
        <v>0.22</v>
      </c>
      <c r="F92" s="9">
        <f t="shared" si="9"/>
        <v>1.7876063358040744E-2</v>
      </c>
      <c r="G92" s="7" t="str">
        <f t="shared" si="10"/>
        <v>Jul-2021</v>
      </c>
      <c r="H92" s="8">
        <f t="shared" si="14"/>
        <v>-1138770</v>
      </c>
      <c r="I92" s="17">
        <f t="shared" si="13"/>
        <v>-6.2477880184331793</v>
      </c>
      <c r="J92" s="17">
        <f t="shared" si="11"/>
        <v>55.940728110599075</v>
      </c>
    </row>
    <row r="93" spans="1:10" x14ac:dyDescent="0.2">
      <c r="A93" s="7" t="s">
        <v>28</v>
      </c>
      <c r="B93" s="7" t="s">
        <v>7</v>
      </c>
      <c r="C93" s="10">
        <v>462000</v>
      </c>
      <c r="D93" s="8">
        <v>16770862</v>
      </c>
      <c r="E93" s="9">
        <v>0.32</v>
      </c>
      <c r="F93" s="9">
        <f t="shared" si="9"/>
        <v>2.7547778999075897E-2</v>
      </c>
      <c r="G93" s="7" t="str">
        <f t="shared" si="10"/>
        <v>Jul-2021</v>
      </c>
      <c r="H93" s="8">
        <f t="shared" si="14"/>
        <v>4356155</v>
      </c>
      <c r="I93" s="17">
        <f t="shared" si="13"/>
        <v>8.4289069264069258</v>
      </c>
      <c r="J93" s="17">
        <f t="shared" si="11"/>
        <v>36.300567099567097</v>
      </c>
    </row>
    <row r="94" spans="1:10" x14ac:dyDescent="0.2">
      <c r="A94" s="7" t="s">
        <v>28</v>
      </c>
      <c r="B94" s="7" t="s">
        <v>8</v>
      </c>
      <c r="C94" s="10">
        <v>364000</v>
      </c>
      <c r="D94" s="8">
        <v>14492256</v>
      </c>
      <c r="E94" s="9">
        <v>0.27</v>
      </c>
      <c r="F94" s="9">
        <f t="shared" si="9"/>
        <v>2.5116862412587797E-2</v>
      </c>
      <c r="G94" s="7" t="str">
        <f t="shared" si="10"/>
        <v>Jul-2021</v>
      </c>
      <c r="H94" s="8">
        <f t="shared" si="14"/>
        <v>1771600</v>
      </c>
      <c r="I94" s="17">
        <f t="shared" si="13"/>
        <v>3.8670329670329671</v>
      </c>
      <c r="J94" s="17">
        <f t="shared" si="11"/>
        <v>39.81389010989011</v>
      </c>
    </row>
    <row r="95" spans="1:10" x14ac:dyDescent="0.2">
      <c r="A95" s="7" t="s">
        <v>28</v>
      </c>
      <c r="B95" s="7" t="s">
        <v>9</v>
      </c>
      <c r="C95" s="10">
        <v>299000</v>
      </c>
      <c r="D95" s="8">
        <v>14430808</v>
      </c>
      <c r="E95" s="9">
        <v>0.05</v>
      </c>
      <c r="F95" s="9">
        <f t="shared" si="9"/>
        <v>2.0719560540199827E-2</v>
      </c>
      <c r="G95" s="7" t="str">
        <f t="shared" si="10"/>
        <v>Jul-2021</v>
      </c>
      <c r="H95" s="8">
        <f t="shared" si="14"/>
        <v>660636</v>
      </c>
      <c r="I95" s="17">
        <f t="shared" si="13"/>
        <v>1.209484949832776</v>
      </c>
      <c r="J95" s="17">
        <f t="shared" si="11"/>
        <v>48.263571906354514</v>
      </c>
    </row>
    <row r="96" spans="1:10" x14ac:dyDescent="0.2">
      <c r="A96" s="7" t="s">
        <v>28</v>
      </c>
      <c r="B96" s="7" t="s">
        <v>10</v>
      </c>
      <c r="C96" s="10">
        <v>251000</v>
      </c>
      <c r="D96" s="8">
        <v>13135579</v>
      </c>
      <c r="E96" s="9">
        <v>0.14000000000000001</v>
      </c>
      <c r="F96" s="9">
        <f t="shared" si="9"/>
        <v>1.9108407783166619E-2</v>
      </c>
      <c r="G96" s="7" t="str">
        <f t="shared" si="10"/>
        <v>Jul-2021</v>
      </c>
      <c r="H96" s="8">
        <f t="shared" si="14"/>
        <v>2955741</v>
      </c>
      <c r="I96" s="17">
        <f t="shared" si="13"/>
        <v>10.775860557768924</v>
      </c>
      <c r="J96" s="17">
        <f t="shared" si="11"/>
        <v>52.332984063745023</v>
      </c>
    </row>
    <row r="97" spans="1:10" x14ac:dyDescent="0.2">
      <c r="A97" s="7" t="s">
        <v>29</v>
      </c>
      <c r="B97" s="7" t="s">
        <v>6</v>
      </c>
      <c r="C97" s="10">
        <v>463000</v>
      </c>
      <c r="D97" s="8">
        <v>14248212</v>
      </c>
      <c r="E97" s="9">
        <v>0.25</v>
      </c>
      <c r="F97" s="9">
        <f t="shared" si="9"/>
        <v>3.2495305375860491E-2</v>
      </c>
      <c r="G97" s="7" t="str">
        <f t="shared" si="10"/>
        <v>Aug-2021</v>
      </c>
      <c r="H97" s="8">
        <f t="shared" si="14"/>
        <v>2109074</v>
      </c>
      <c r="I97" s="17">
        <f t="shared" si="13"/>
        <v>3.5552354211663069</v>
      </c>
      <c r="J97" s="17">
        <f t="shared" si="11"/>
        <v>30.773676025917926</v>
      </c>
    </row>
    <row r="98" spans="1:10" x14ac:dyDescent="0.2">
      <c r="A98" s="7" t="s">
        <v>29</v>
      </c>
      <c r="B98" s="7" t="s">
        <v>7</v>
      </c>
      <c r="C98" s="10">
        <v>298000</v>
      </c>
      <c r="D98" s="8">
        <v>11526950</v>
      </c>
      <c r="E98" s="9">
        <v>0.41</v>
      </c>
      <c r="F98" s="9">
        <f t="shared" si="9"/>
        <v>2.5852458803065859E-2</v>
      </c>
      <c r="G98" s="7" t="str">
        <f t="shared" si="10"/>
        <v>Aug-2021</v>
      </c>
      <c r="H98" s="8">
        <f t="shared" si="14"/>
        <v>-5243912</v>
      </c>
      <c r="I98" s="17">
        <f t="shared" si="13"/>
        <v>-18.597020134228188</v>
      </c>
      <c r="J98" s="17">
        <f t="shared" si="11"/>
        <v>38.681040268456378</v>
      </c>
    </row>
    <row r="99" spans="1:10" x14ac:dyDescent="0.2">
      <c r="A99" s="7" t="s">
        <v>29</v>
      </c>
      <c r="B99" s="7" t="s">
        <v>8</v>
      </c>
      <c r="C99" s="10">
        <v>244000</v>
      </c>
      <c r="D99" s="8">
        <v>11731311</v>
      </c>
      <c r="E99" s="9">
        <v>0.13</v>
      </c>
      <c r="F99" s="9">
        <f t="shared" si="9"/>
        <v>2.0799039425346409E-2</v>
      </c>
      <c r="G99" s="7" t="str">
        <f t="shared" si="10"/>
        <v>Aug-2021</v>
      </c>
      <c r="H99" s="8">
        <f t="shared" si="14"/>
        <v>-2760945</v>
      </c>
      <c r="I99" s="17">
        <f t="shared" si="13"/>
        <v>-12.315348360655738</v>
      </c>
      <c r="J99" s="17">
        <f t="shared" si="11"/>
        <v>48.07914344262295</v>
      </c>
    </row>
    <row r="100" spans="1:10" x14ac:dyDescent="0.2">
      <c r="A100" s="7" t="s">
        <v>29</v>
      </c>
      <c r="B100" s="7" t="s">
        <v>9</v>
      </c>
      <c r="C100" s="10">
        <v>211000</v>
      </c>
      <c r="D100" s="8">
        <v>11390192</v>
      </c>
      <c r="E100" s="9">
        <v>7.0000000000000007E-2</v>
      </c>
      <c r="F100" s="9">
        <f t="shared" si="9"/>
        <v>1.8524709680047536E-2</v>
      </c>
      <c r="G100" s="7" t="str">
        <f t="shared" si="10"/>
        <v>Aug-2021</v>
      </c>
      <c r="H100" s="8">
        <f t="shared" si="14"/>
        <v>-3040616</v>
      </c>
      <c r="I100" s="17">
        <f t="shared" si="13"/>
        <v>-15.410502369668247</v>
      </c>
      <c r="J100" s="17">
        <f t="shared" si="11"/>
        <v>53.981952606635069</v>
      </c>
    </row>
    <row r="101" spans="1:10" x14ac:dyDescent="0.2">
      <c r="A101" s="7" t="s">
        <v>29</v>
      </c>
      <c r="B101" s="7" t="s">
        <v>10</v>
      </c>
      <c r="C101" s="10">
        <v>463000</v>
      </c>
      <c r="D101" s="8">
        <v>15050972</v>
      </c>
      <c r="E101" s="9">
        <v>0.14000000000000001</v>
      </c>
      <c r="F101" s="9">
        <f t="shared" si="9"/>
        <v>3.0762132837666566E-2</v>
      </c>
      <c r="G101" s="7" t="str">
        <f t="shared" si="10"/>
        <v>Aug-2021</v>
      </c>
      <c r="H101" s="8">
        <f t="shared" si="14"/>
        <v>1915393</v>
      </c>
      <c r="I101" s="17">
        <f t="shared" si="13"/>
        <v>3.1369179265658746</v>
      </c>
      <c r="J101" s="17">
        <f t="shared" si="11"/>
        <v>32.507498920086391</v>
      </c>
    </row>
    <row r="102" spans="1:10" x14ac:dyDescent="0.2">
      <c r="A102" s="7" t="s">
        <v>30</v>
      </c>
      <c r="B102" s="7" t="s">
        <v>6</v>
      </c>
      <c r="C102" s="10">
        <v>268000</v>
      </c>
      <c r="D102" s="8">
        <v>9718553</v>
      </c>
      <c r="E102" s="9">
        <v>0.1</v>
      </c>
      <c r="F102" s="9">
        <f t="shared" si="9"/>
        <v>2.7576121671610991E-2</v>
      </c>
      <c r="G102" s="7" t="str">
        <f t="shared" si="10"/>
        <v>Sep-2021</v>
      </c>
      <c r="H102" s="8">
        <f t="shared" si="14"/>
        <v>-4529659</v>
      </c>
      <c r="I102" s="17">
        <f t="shared" si="13"/>
        <v>-17.901712686567166</v>
      </c>
      <c r="J102" s="17">
        <f t="shared" si="11"/>
        <v>36.263257462686568</v>
      </c>
    </row>
    <row r="103" spans="1:10" x14ac:dyDescent="0.2">
      <c r="A103" s="7" t="s">
        <v>30</v>
      </c>
      <c r="B103" s="7" t="s">
        <v>7</v>
      </c>
      <c r="C103" s="10">
        <v>264000</v>
      </c>
      <c r="D103" s="8">
        <v>10833138</v>
      </c>
      <c r="E103" s="9">
        <v>0.2</v>
      </c>
      <c r="F103" s="9">
        <f t="shared" si="9"/>
        <v>2.4369670173129892E-2</v>
      </c>
      <c r="G103" s="7" t="str">
        <f t="shared" si="10"/>
        <v>Sep-2021</v>
      </c>
      <c r="H103" s="8">
        <f t="shared" si="14"/>
        <v>-693812</v>
      </c>
      <c r="I103" s="17">
        <f t="shared" si="13"/>
        <v>-3.6280757575757576</v>
      </c>
      <c r="J103" s="17">
        <f t="shared" si="11"/>
        <v>41.034613636363638</v>
      </c>
    </row>
    <row r="104" spans="1:10" x14ac:dyDescent="0.2">
      <c r="A104" s="7" t="s">
        <v>30</v>
      </c>
      <c r="B104" s="7" t="s">
        <v>8</v>
      </c>
      <c r="C104" s="10">
        <v>255000</v>
      </c>
      <c r="D104" s="8">
        <v>11470851</v>
      </c>
      <c r="E104" s="9">
        <v>0.05</v>
      </c>
      <c r="F104" s="9">
        <f t="shared" si="9"/>
        <v>2.2230259986813532E-2</v>
      </c>
      <c r="G104" s="7" t="str">
        <f t="shared" si="10"/>
        <v>Sep-2021</v>
      </c>
      <c r="H104" s="8">
        <f t="shared" si="14"/>
        <v>-260460</v>
      </c>
      <c r="I104" s="17">
        <f t="shared" si="13"/>
        <v>-2.0214117647058822</v>
      </c>
      <c r="J104" s="17">
        <f t="shared" si="11"/>
        <v>44.983729411764706</v>
      </c>
    </row>
    <row r="105" spans="1:10" x14ac:dyDescent="0.2">
      <c r="A105" s="7" t="s">
        <v>30</v>
      </c>
      <c r="B105" s="7" t="s">
        <v>9</v>
      </c>
      <c r="C105" s="10">
        <v>356000</v>
      </c>
      <c r="D105" s="8">
        <v>12786812</v>
      </c>
      <c r="E105" s="9">
        <v>0.38</v>
      </c>
      <c r="F105" s="9">
        <f t="shared" si="9"/>
        <v>2.7841185121045026E-2</v>
      </c>
      <c r="G105" s="7" t="str">
        <f t="shared" si="10"/>
        <v>Sep-2021</v>
      </c>
      <c r="H105" s="8">
        <f t="shared" si="14"/>
        <v>1396620</v>
      </c>
      <c r="I105" s="17">
        <f t="shared" si="13"/>
        <v>2.9230898876404496</v>
      </c>
      <c r="J105" s="17">
        <f t="shared" si="11"/>
        <v>35.918011235955056</v>
      </c>
    </row>
    <row r="106" spans="1:10" x14ac:dyDescent="0.2">
      <c r="A106" s="7" t="s">
        <v>30</v>
      </c>
      <c r="B106" s="7" t="s">
        <v>10</v>
      </c>
      <c r="C106" s="10">
        <v>289000</v>
      </c>
      <c r="D106" s="8">
        <v>10971265</v>
      </c>
      <c r="E106" s="9">
        <v>0.27</v>
      </c>
      <c r="F106" s="9">
        <f t="shared" si="9"/>
        <v>2.6341538555490183E-2</v>
      </c>
      <c r="G106" s="7" t="str">
        <f t="shared" si="10"/>
        <v>Sep-2021</v>
      </c>
      <c r="H106" s="8">
        <f t="shared" si="14"/>
        <v>-4079707</v>
      </c>
      <c r="I106" s="17">
        <f t="shared" si="13"/>
        <v>-15.11663321799308</v>
      </c>
      <c r="J106" s="17">
        <f t="shared" si="11"/>
        <v>37.962854671280276</v>
      </c>
    </row>
    <row r="107" spans="1:10" x14ac:dyDescent="0.2">
      <c r="A107" s="7" t="s">
        <v>31</v>
      </c>
      <c r="B107" s="7" t="s">
        <v>6</v>
      </c>
      <c r="C107" s="10">
        <v>327000</v>
      </c>
      <c r="D107" s="8">
        <v>10681023</v>
      </c>
      <c r="E107" s="9">
        <v>0.12</v>
      </c>
      <c r="F107" s="9">
        <f t="shared" si="9"/>
        <v>3.0615045019564139E-2</v>
      </c>
      <c r="G107" s="7" t="str">
        <f t="shared" si="10"/>
        <v>Oct-2021</v>
      </c>
      <c r="H107" s="8">
        <f t="shared" si="14"/>
        <v>962470</v>
      </c>
      <c r="I107" s="17">
        <f t="shared" si="13"/>
        <v>1.9433333333333334</v>
      </c>
      <c r="J107" s="17">
        <f t="shared" si="11"/>
        <v>32.663678899082569</v>
      </c>
    </row>
    <row r="108" spans="1:10" x14ac:dyDescent="0.2">
      <c r="A108" s="7" t="s">
        <v>31</v>
      </c>
      <c r="B108" s="7" t="s">
        <v>7</v>
      </c>
      <c r="C108" s="10">
        <v>250000</v>
      </c>
      <c r="D108" s="8">
        <v>10060509</v>
      </c>
      <c r="E108" s="9">
        <v>0.62</v>
      </c>
      <c r="F108" s="9">
        <f t="shared" si="9"/>
        <v>2.4849637329483032E-2</v>
      </c>
      <c r="G108" s="7" t="str">
        <f t="shared" si="10"/>
        <v>Oct-2021</v>
      </c>
      <c r="H108" s="8">
        <f t="shared" si="14"/>
        <v>-772629</v>
      </c>
      <c r="I108" s="17">
        <f t="shared" si="13"/>
        <v>-4.090516</v>
      </c>
      <c r="J108" s="17">
        <f t="shared" si="11"/>
        <v>40.242035999999999</v>
      </c>
    </row>
    <row r="109" spans="1:10" x14ac:dyDescent="0.2">
      <c r="A109" s="7" t="s">
        <v>31</v>
      </c>
      <c r="B109" s="7" t="s">
        <v>8</v>
      </c>
      <c r="C109" s="10">
        <v>290000</v>
      </c>
      <c r="D109" s="8">
        <v>11072414</v>
      </c>
      <c r="E109" s="9">
        <v>0.12</v>
      </c>
      <c r="F109" s="9">
        <f t="shared" si="9"/>
        <v>2.6191217199790399E-2</v>
      </c>
      <c r="G109" s="7" t="str">
        <f t="shared" si="10"/>
        <v>Oct-2021</v>
      </c>
      <c r="H109" s="8">
        <f t="shared" si="14"/>
        <v>-398437</v>
      </c>
      <c r="I109" s="17">
        <f t="shared" si="13"/>
        <v>-2.3739206896551726</v>
      </c>
      <c r="J109" s="17">
        <f t="shared" si="11"/>
        <v>38.180737931034486</v>
      </c>
    </row>
    <row r="110" spans="1:10" x14ac:dyDescent="0.2">
      <c r="A110" s="7" t="s">
        <v>31</v>
      </c>
      <c r="B110" s="7" t="s">
        <v>9</v>
      </c>
      <c r="C110" s="10">
        <v>413000</v>
      </c>
      <c r="D110" s="8">
        <v>11915906</v>
      </c>
      <c r="E110" s="9">
        <v>0.08</v>
      </c>
      <c r="F110" s="9">
        <f t="shared" si="9"/>
        <v>3.4659555051877719E-2</v>
      </c>
      <c r="G110" s="7" t="str">
        <f t="shared" si="10"/>
        <v>Oct-2021</v>
      </c>
      <c r="H110" s="8">
        <f t="shared" si="14"/>
        <v>-870906</v>
      </c>
      <c r="I110" s="17">
        <f t="shared" si="13"/>
        <v>-3.1087312348668279</v>
      </c>
      <c r="J110" s="17">
        <f t="shared" si="11"/>
        <v>28.852072639225181</v>
      </c>
    </row>
    <row r="111" spans="1:10" x14ac:dyDescent="0.2">
      <c r="A111" s="7" t="s">
        <v>31</v>
      </c>
      <c r="B111" s="7" t="s">
        <v>10</v>
      </c>
      <c r="C111" s="10">
        <v>389000</v>
      </c>
      <c r="D111" s="8">
        <v>11429115</v>
      </c>
      <c r="E111" s="9">
        <v>0.06</v>
      </c>
      <c r="F111" s="9">
        <f t="shared" si="9"/>
        <v>3.4035881168401928E-2</v>
      </c>
      <c r="G111" s="7" t="str">
        <f t="shared" si="10"/>
        <v>Oct-2021</v>
      </c>
      <c r="H111" s="8">
        <f t="shared" si="14"/>
        <v>457850</v>
      </c>
      <c r="I111" s="17">
        <f t="shared" si="13"/>
        <v>0.1769922879177378</v>
      </c>
      <c r="J111" s="17">
        <f t="shared" si="11"/>
        <v>29.380758354755784</v>
      </c>
    </row>
    <row r="112" spans="1:10" x14ac:dyDescent="0.2">
      <c r="A112" s="7" t="s">
        <v>32</v>
      </c>
      <c r="B112" s="7" t="s">
        <v>6</v>
      </c>
      <c r="C112" s="10">
        <v>372000</v>
      </c>
      <c r="D112" s="8">
        <v>13702626</v>
      </c>
      <c r="E112" s="9">
        <v>0.28999999999999998</v>
      </c>
      <c r="F112" s="9">
        <f t="shared" si="9"/>
        <v>2.7148080959080396E-2</v>
      </c>
      <c r="G112" s="7" t="str">
        <f t="shared" si="10"/>
        <v>Nov-2021</v>
      </c>
      <c r="H112" s="8">
        <f t="shared" si="14"/>
        <v>3021603</v>
      </c>
      <c r="I112" s="17">
        <f t="shared" si="13"/>
        <v>7.1225887096774194</v>
      </c>
      <c r="J112" s="17">
        <f t="shared" si="11"/>
        <v>36.835016129032255</v>
      </c>
    </row>
    <row r="113" spans="1:10" x14ac:dyDescent="0.2">
      <c r="A113" s="7" t="s">
        <v>32</v>
      </c>
      <c r="B113" s="7" t="s">
        <v>7</v>
      </c>
      <c r="C113" s="10">
        <v>471000</v>
      </c>
      <c r="D113" s="8">
        <v>16722082</v>
      </c>
      <c r="E113" s="9">
        <v>0.09</v>
      </c>
      <c r="F113" s="9">
        <f t="shared" si="9"/>
        <v>2.8166349142409421E-2</v>
      </c>
      <c r="G113" s="7" t="str">
        <f t="shared" si="10"/>
        <v>Nov-2021</v>
      </c>
      <c r="H113" s="8">
        <f t="shared" si="14"/>
        <v>6661573</v>
      </c>
      <c r="I113" s="17">
        <f t="shared" si="13"/>
        <v>13.143467091295117</v>
      </c>
      <c r="J113" s="17">
        <f t="shared" si="11"/>
        <v>35.503358811040343</v>
      </c>
    </row>
    <row r="114" spans="1:10" x14ac:dyDescent="0.2">
      <c r="A114" s="7" t="s">
        <v>32</v>
      </c>
      <c r="B114" s="7" t="s">
        <v>8</v>
      </c>
      <c r="C114" s="10">
        <v>356000</v>
      </c>
      <c r="D114" s="8">
        <v>15100072</v>
      </c>
      <c r="E114" s="9">
        <v>0.16</v>
      </c>
      <c r="F114" s="9">
        <f t="shared" si="9"/>
        <v>2.3576046524811274E-2</v>
      </c>
      <c r="G114" s="7" t="str">
        <f t="shared" si="10"/>
        <v>Nov-2021</v>
      </c>
      <c r="H114" s="8">
        <f t="shared" si="14"/>
        <v>4027658</v>
      </c>
      <c r="I114" s="17">
        <f t="shared" si="13"/>
        <v>10.31364606741573</v>
      </c>
      <c r="J114" s="17">
        <f t="shared" si="11"/>
        <v>42.415932584269662</v>
      </c>
    </row>
    <row r="115" spans="1:10" x14ac:dyDescent="0.2">
      <c r="A115" s="7" t="s">
        <v>32</v>
      </c>
      <c r="B115" s="7" t="s">
        <v>9</v>
      </c>
      <c r="C115" s="10">
        <v>468000</v>
      </c>
      <c r="D115" s="8">
        <v>15590059</v>
      </c>
      <c r="E115" s="9">
        <v>0.2</v>
      </c>
      <c r="F115" s="9">
        <f t="shared" si="9"/>
        <v>3.0019129497842183E-2</v>
      </c>
      <c r="G115" s="7" t="str">
        <f t="shared" si="10"/>
        <v>Nov-2021</v>
      </c>
      <c r="H115" s="8">
        <f t="shared" si="14"/>
        <v>3674153</v>
      </c>
      <c r="I115" s="17">
        <f t="shared" si="13"/>
        <v>6.8507542735042737</v>
      </c>
      <c r="J115" s="17">
        <f t="shared" si="11"/>
        <v>33.312091880341882</v>
      </c>
    </row>
    <row r="116" spans="1:10" x14ac:dyDescent="0.2">
      <c r="A116" s="7" t="s">
        <v>32</v>
      </c>
      <c r="B116" s="7" t="s">
        <v>10</v>
      </c>
      <c r="C116" s="10">
        <v>279000</v>
      </c>
      <c r="D116" s="8">
        <v>12298177</v>
      </c>
      <c r="E116" s="9">
        <v>0.26</v>
      </c>
      <c r="F116" s="9">
        <f t="shared" si="9"/>
        <v>2.2686289195544999E-2</v>
      </c>
      <c r="G116" s="7" t="str">
        <f t="shared" si="10"/>
        <v>Nov-2021</v>
      </c>
      <c r="H116" s="8">
        <f t="shared" si="14"/>
        <v>869062</v>
      </c>
      <c r="I116" s="17">
        <f t="shared" si="13"/>
        <v>2.1149175627240142</v>
      </c>
      <c r="J116" s="17">
        <f t="shared" si="11"/>
        <v>44.079487455197132</v>
      </c>
    </row>
    <row r="117" spans="1:10" x14ac:dyDescent="0.2">
      <c r="A117" s="7" t="s">
        <v>33</v>
      </c>
      <c r="B117" s="7" t="s">
        <v>6</v>
      </c>
      <c r="C117" s="10">
        <v>213000</v>
      </c>
      <c r="D117" s="8">
        <v>11935152</v>
      </c>
      <c r="E117" s="9">
        <v>0.38</v>
      </c>
      <c r="F117" s="9">
        <f t="shared" si="9"/>
        <v>1.7846442173505624E-2</v>
      </c>
      <c r="G117" s="7" t="str">
        <f t="shared" si="10"/>
        <v>Dec-2021</v>
      </c>
      <c r="H117" s="8">
        <f t="shared" si="14"/>
        <v>-1767474</v>
      </c>
      <c r="I117" s="17">
        <f t="shared" si="13"/>
        <v>-9.298</v>
      </c>
      <c r="J117" s="17">
        <f t="shared" si="11"/>
        <v>56.033577464788735</v>
      </c>
    </row>
    <row r="118" spans="1:10" x14ac:dyDescent="0.2">
      <c r="A118" s="7" t="s">
        <v>33</v>
      </c>
      <c r="B118" s="7" t="s">
        <v>7</v>
      </c>
      <c r="C118" s="10">
        <v>392000</v>
      </c>
      <c r="D118" s="8">
        <v>15101566</v>
      </c>
      <c r="E118" s="9">
        <v>0.09</v>
      </c>
      <c r="F118" s="9">
        <f t="shared" si="9"/>
        <v>2.5957572876879127E-2</v>
      </c>
      <c r="G118" s="7" t="str">
        <f t="shared" si="10"/>
        <v>Dec-2021</v>
      </c>
      <c r="H118" s="8">
        <f t="shared" si="14"/>
        <v>-1620516</v>
      </c>
      <c r="I118" s="17">
        <f t="shared" si="13"/>
        <v>-5.1339693877551023</v>
      </c>
      <c r="J118" s="17">
        <f t="shared" si="11"/>
        <v>38.52440306122449</v>
      </c>
    </row>
    <row r="119" spans="1:10" x14ac:dyDescent="0.2">
      <c r="A119" s="7" t="s">
        <v>33</v>
      </c>
      <c r="B119" s="7" t="s">
        <v>8</v>
      </c>
      <c r="C119" s="10">
        <v>400000</v>
      </c>
      <c r="D119" s="8">
        <v>15367017</v>
      </c>
      <c r="E119" s="9">
        <v>0.1</v>
      </c>
      <c r="F119" s="9">
        <f t="shared" si="9"/>
        <v>2.602977532985094E-2</v>
      </c>
      <c r="G119" s="7" t="str">
        <f t="shared" si="10"/>
        <v>Dec-2021</v>
      </c>
      <c r="H119" s="8">
        <f t="shared" si="14"/>
        <v>266945</v>
      </c>
      <c r="I119" s="17">
        <f t="shared" si="13"/>
        <v>-0.33263749999999997</v>
      </c>
      <c r="J119" s="17">
        <f t="shared" si="11"/>
        <v>38.417542500000003</v>
      </c>
    </row>
    <row r="120" spans="1:10" x14ac:dyDescent="0.2">
      <c r="A120" s="7" t="s">
        <v>33</v>
      </c>
      <c r="B120" s="7" t="s">
        <v>9</v>
      </c>
      <c r="C120" s="10">
        <v>342000</v>
      </c>
      <c r="D120" s="8">
        <v>14577875</v>
      </c>
      <c r="E120" s="9">
        <v>0.11</v>
      </c>
      <c r="F120" s="9">
        <f t="shared" si="9"/>
        <v>2.3460209392658395E-2</v>
      </c>
      <c r="G120" s="7" t="str">
        <f t="shared" si="10"/>
        <v>Dec-2021</v>
      </c>
      <c r="H120" s="8">
        <f t="shared" si="14"/>
        <v>-1012184</v>
      </c>
      <c r="I120" s="17">
        <f t="shared" si="13"/>
        <v>-3.9596023391812865</v>
      </c>
      <c r="J120" s="17">
        <f t="shared" si="11"/>
        <v>42.625365497076025</v>
      </c>
    </row>
    <row r="121" spans="1:10" x14ac:dyDescent="0.2">
      <c r="A121" s="7" t="s">
        <v>33</v>
      </c>
      <c r="B121" s="7" t="s">
        <v>10</v>
      </c>
      <c r="C121" s="10">
        <v>470000</v>
      </c>
      <c r="D121" s="8">
        <v>18866700</v>
      </c>
      <c r="E121" s="9">
        <v>0.32</v>
      </c>
      <c r="F121" s="9">
        <f t="shared" si="9"/>
        <v>2.4911616763927977E-2</v>
      </c>
      <c r="G121" s="7" t="str">
        <f t="shared" si="10"/>
        <v>Dec-2021</v>
      </c>
      <c r="H121" s="8">
        <f t="shared" si="14"/>
        <v>6568523</v>
      </c>
      <c r="I121" s="17">
        <f t="shared" si="13"/>
        <v>12.97558085106383</v>
      </c>
      <c r="J121" s="17">
        <f t="shared" si="11"/>
        <v>40.14191489361702</v>
      </c>
    </row>
    <row r="122" spans="1:10" x14ac:dyDescent="0.2">
      <c r="A122" s="7" t="s">
        <v>34</v>
      </c>
      <c r="B122" s="7" t="s">
        <v>6</v>
      </c>
      <c r="C122" s="10">
        <v>282000</v>
      </c>
      <c r="D122" s="8">
        <v>9764192</v>
      </c>
      <c r="E122" s="9">
        <v>0.1</v>
      </c>
      <c r="F122" s="9">
        <f t="shared" si="9"/>
        <v>2.8881037980408416E-2</v>
      </c>
      <c r="G122" s="7" t="str">
        <f t="shared" si="10"/>
        <v>Jan-2022</v>
      </c>
      <c r="H122" s="8">
        <f t="shared" si="14"/>
        <v>-2170960</v>
      </c>
      <c r="I122" s="17">
        <f t="shared" si="13"/>
        <v>-8.6984397163120573</v>
      </c>
      <c r="J122" s="17">
        <f t="shared" si="11"/>
        <v>34.624794326241137</v>
      </c>
    </row>
    <row r="123" spans="1:10" x14ac:dyDescent="0.2">
      <c r="A123" s="7" t="s">
        <v>34</v>
      </c>
      <c r="B123" s="7" t="s">
        <v>7</v>
      </c>
      <c r="C123" s="10">
        <v>387000</v>
      </c>
      <c r="D123" s="8">
        <v>9646859</v>
      </c>
      <c r="E123" s="9">
        <v>0.15</v>
      </c>
      <c r="F123" s="9">
        <f t="shared" si="9"/>
        <v>4.0116684612058702E-2</v>
      </c>
      <c r="G123" s="7" t="str">
        <f t="shared" si="10"/>
        <v>Jan-2022</v>
      </c>
      <c r="H123" s="8">
        <f t="shared" si="14"/>
        <v>-5454707</v>
      </c>
      <c r="I123" s="17">
        <f t="shared" si="13"/>
        <v>-15.094850129198967</v>
      </c>
      <c r="J123" s="17">
        <f t="shared" si="11"/>
        <v>24.927284237726099</v>
      </c>
    </row>
    <row r="124" spans="1:10" x14ac:dyDescent="0.2">
      <c r="A124" s="7" t="s">
        <v>34</v>
      </c>
      <c r="B124" s="7" t="s">
        <v>8</v>
      </c>
      <c r="C124" s="10">
        <v>218000</v>
      </c>
      <c r="D124" s="8">
        <v>8091780</v>
      </c>
      <c r="E124" s="9">
        <v>0.36</v>
      </c>
      <c r="F124" s="9">
        <f t="shared" si="9"/>
        <v>2.6940920291950596E-2</v>
      </c>
      <c r="G124" s="7" t="str">
        <f t="shared" si="10"/>
        <v>Jan-2022</v>
      </c>
      <c r="H124" s="8">
        <f t="shared" si="14"/>
        <v>-7275237</v>
      </c>
      <c r="I124" s="17">
        <f t="shared" si="13"/>
        <v>-34.372646788990828</v>
      </c>
      <c r="J124" s="17">
        <f t="shared" si="11"/>
        <v>37.118256880733945</v>
      </c>
    </row>
    <row r="125" spans="1:10" x14ac:dyDescent="0.2">
      <c r="A125" s="7" t="s">
        <v>34</v>
      </c>
      <c r="B125" s="7" t="s">
        <v>9</v>
      </c>
      <c r="C125" s="10">
        <v>386000</v>
      </c>
      <c r="D125" s="8">
        <v>9446086</v>
      </c>
      <c r="E125" s="9">
        <v>0.21</v>
      </c>
      <c r="F125" s="9">
        <f t="shared" si="9"/>
        <v>4.0863485680735917E-2</v>
      </c>
      <c r="G125" s="7" t="str">
        <f t="shared" si="10"/>
        <v>Jan-2022</v>
      </c>
      <c r="H125" s="8">
        <f t="shared" si="14"/>
        <v>-5131789</v>
      </c>
      <c r="I125" s="17">
        <f t="shared" si="13"/>
        <v>-14.294790155440415</v>
      </c>
      <c r="J125" s="17">
        <f t="shared" si="11"/>
        <v>24.471725388601037</v>
      </c>
    </row>
    <row r="126" spans="1:10" x14ac:dyDescent="0.2">
      <c r="A126" s="7" t="s">
        <v>34</v>
      </c>
      <c r="B126" s="7" t="s">
        <v>10</v>
      </c>
      <c r="C126" s="10">
        <v>362000</v>
      </c>
      <c r="D126" s="8">
        <v>10726982</v>
      </c>
      <c r="E126" s="9">
        <v>0.18</v>
      </c>
      <c r="F126" s="9">
        <f t="shared" si="9"/>
        <v>3.3746677304017106E-2</v>
      </c>
      <c r="G126" s="7" t="str">
        <f t="shared" si="10"/>
        <v>Jan-2022</v>
      </c>
      <c r="H126" s="8">
        <f t="shared" si="14"/>
        <v>-8139718</v>
      </c>
      <c r="I126" s="17">
        <f t="shared" si="13"/>
        <v>-23.485408839779005</v>
      </c>
      <c r="J126" s="17">
        <f t="shared" si="11"/>
        <v>29.632546961325968</v>
      </c>
    </row>
    <row r="127" spans="1:10" x14ac:dyDescent="0.2">
      <c r="A127" s="7" t="s">
        <v>35</v>
      </c>
      <c r="B127" s="7" t="s">
        <v>6</v>
      </c>
      <c r="C127" s="10">
        <v>395000</v>
      </c>
      <c r="D127" s="8">
        <v>10111050</v>
      </c>
      <c r="E127" s="9">
        <v>0.05</v>
      </c>
      <c r="F127" s="9">
        <f t="shared" si="9"/>
        <v>3.9066170180149441E-2</v>
      </c>
      <c r="G127" s="7" t="str">
        <f t="shared" si="10"/>
        <v>Feb-2022</v>
      </c>
      <c r="H127" s="8">
        <f t="shared" si="14"/>
        <v>346858</v>
      </c>
      <c r="I127" s="17">
        <f t="shared" si="13"/>
        <v>-0.12187848101265823</v>
      </c>
      <c r="J127" s="17">
        <f t="shared" si="11"/>
        <v>25.597594936708862</v>
      </c>
    </row>
    <row r="128" spans="1:10" x14ac:dyDescent="0.2">
      <c r="A128" s="7" t="s">
        <v>35</v>
      </c>
      <c r="B128" s="7" t="s">
        <v>7</v>
      </c>
      <c r="C128" s="10">
        <v>221000</v>
      </c>
      <c r="D128" s="8">
        <v>8724897</v>
      </c>
      <c r="E128" s="9">
        <v>0.31</v>
      </c>
      <c r="F128" s="9">
        <f t="shared" si="9"/>
        <v>2.5329811916404286E-2</v>
      </c>
      <c r="G128" s="7" t="str">
        <f t="shared" si="10"/>
        <v>Feb-2022</v>
      </c>
      <c r="H128" s="8">
        <f t="shared" si="14"/>
        <v>-921962</v>
      </c>
      <c r="I128" s="17">
        <f t="shared" si="13"/>
        <v>-5.1717737556561083</v>
      </c>
      <c r="J128" s="17">
        <f t="shared" si="11"/>
        <v>39.47917194570136</v>
      </c>
    </row>
    <row r="129" spans="1:10" x14ac:dyDescent="0.2">
      <c r="A129" s="7" t="s">
        <v>35</v>
      </c>
      <c r="B129" s="7" t="s">
        <v>8</v>
      </c>
      <c r="C129" s="10">
        <v>283000</v>
      </c>
      <c r="D129" s="8">
        <v>10246543</v>
      </c>
      <c r="E129" s="9">
        <v>0.05</v>
      </c>
      <c r="F129" s="9">
        <f t="shared" si="9"/>
        <v>2.7619071134528005E-2</v>
      </c>
      <c r="G129" s="7" t="str">
        <f t="shared" si="10"/>
        <v>Feb-2022</v>
      </c>
      <c r="H129" s="8">
        <f t="shared" si="14"/>
        <v>2154763</v>
      </c>
      <c r="I129" s="17">
        <f t="shared" si="13"/>
        <v>6.6140035335689049</v>
      </c>
      <c r="J129" s="17">
        <f t="shared" si="11"/>
        <v>36.206865724381629</v>
      </c>
    </row>
    <row r="130" spans="1:10" x14ac:dyDescent="0.2">
      <c r="A130" s="7" t="s">
        <v>35</v>
      </c>
      <c r="B130" s="7" t="s">
        <v>9</v>
      </c>
      <c r="C130" s="10">
        <v>374000</v>
      </c>
      <c r="D130" s="8">
        <v>10596715</v>
      </c>
      <c r="E130" s="9">
        <v>0.11</v>
      </c>
      <c r="F130" s="9">
        <f t="shared" si="9"/>
        <v>3.5293956664872082E-2</v>
      </c>
      <c r="G130" s="7" t="str">
        <f t="shared" si="10"/>
        <v>Feb-2022</v>
      </c>
      <c r="H130" s="8">
        <f t="shared" si="14"/>
        <v>1150629</v>
      </c>
      <c r="I130" s="17">
        <f t="shared" si="13"/>
        <v>2.076548128342246</v>
      </c>
      <c r="J130" s="17">
        <f t="shared" si="11"/>
        <v>28.333462566844918</v>
      </c>
    </row>
    <row r="131" spans="1:10" x14ac:dyDescent="0.2">
      <c r="A131" s="7" t="s">
        <v>35</v>
      </c>
      <c r="B131" s="7" t="s">
        <v>10</v>
      </c>
      <c r="C131" s="10">
        <v>377000</v>
      </c>
      <c r="D131" s="8">
        <v>9770156</v>
      </c>
      <c r="E131" s="9">
        <v>0.48</v>
      </c>
      <c r="F131" s="9">
        <f t="shared" ref="F131:F181" si="15">C131/D131</f>
        <v>3.8586896667770709E-2</v>
      </c>
      <c r="G131" s="7" t="str">
        <f t="shared" ref="G131:G181" si="16">TEXT(A131,"mmm-yyyy")</f>
        <v>Feb-2022</v>
      </c>
      <c r="H131" s="8">
        <f t="shared" si="14"/>
        <v>-956826</v>
      </c>
      <c r="I131" s="17">
        <f t="shared" si="13"/>
        <v>-3.5379999999999998</v>
      </c>
      <c r="J131" s="17">
        <f t="shared" ref="J131:J181" si="17">D131/C131</f>
        <v>25.915533156498675</v>
      </c>
    </row>
    <row r="132" spans="1:10" x14ac:dyDescent="0.2">
      <c r="A132" s="7" t="s">
        <v>36</v>
      </c>
      <c r="B132" s="7" t="s">
        <v>6</v>
      </c>
      <c r="C132" s="10">
        <v>393000</v>
      </c>
      <c r="D132" s="8">
        <v>11869802</v>
      </c>
      <c r="E132" s="9">
        <v>0.05</v>
      </c>
      <c r="F132" s="9">
        <f t="shared" si="15"/>
        <v>3.3109229623206858E-2</v>
      </c>
      <c r="G132" s="7" t="str">
        <f t="shared" si="16"/>
        <v>Mar-2022</v>
      </c>
      <c r="H132" s="8">
        <f t="shared" si="14"/>
        <v>1758752</v>
      </c>
      <c r="I132" s="17">
        <f t="shared" si="13"/>
        <v>3.4751959287531808</v>
      </c>
      <c r="J132" s="17">
        <f t="shared" si="17"/>
        <v>30.203058524173027</v>
      </c>
    </row>
    <row r="133" spans="1:10" x14ac:dyDescent="0.2">
      <c r="A133" s="7" t="s">
        <v>36</v>
      </c>
      <c r="B133" s="7" t="s">
        <v>7</v>
      </c>
      <c r="C133" s="10">
        <v>288000</v>
      </c>
      <c r="D133" s="8">
        <v>10221640</v>
      </c>
      <c r="E133" s="9">
        <v>0.05</v>
      </c>
      <c r="F133" s="9">
        <f t="shared" si="15"/>
        <v>2.8175517822971657E-2</v>
      </c>
      <c r="G133" s="7" t="str">
        <f t="shared" si="16"/>
        <v>Mar-2022</v>
      </c>
      <c r="H133" s="8">
        <f t="shared" si="14"/>
        <v>1496743</v>
      </c>
      <c r="I133" s="17">
        <f t="shared" si="13"/>
        <v>4.1970243055555558</v>
      </c>
      <c r="J133" s="17">
        <f t="shared" si="17"/>
        <v>35.491805555555558</v>
      </c>
    </row>
    <row r="134" spans="1:10" x14ac:dyDescent="0.2">
      <c r="A134" s="7" t="s">
        <v>36</v>
      </c>
      <c r="B134" s="7" t="s">
        <v>8</v>
      </c>
      <c r="C134" s="10">
        <v>236000</v>
      </c>
      <c r="D134" s="8">
        <v>9629005</v>
      </c>
      <c r="E134" s="9">
        <v>0.79</v>
      </c>
      <c r="F134" s="9">
        <f t="shared" si="15"/>
        <v>2.450928211170313E-2</v>
      </c>
      <c r="G134" s="7" t="str">
        <f t="shared" si="16"/>
        <v>Mar-2022</v>
      </c>
      <c r="H134" s="8">
        <f t="shared" si="14"/>
        <v>-617538</v>
      </c>
      <c r="I134" s="17">
        <f t="shared" si="13"/>
        <v>-3.6166864406779662</v>
      </c>
      <c r="J134" s="17">
        <f t="shared" si="17"/>
        <v>40.800868644067798</v>
      </c>
    </row>
    <row r="135" spans="1:10" x14ac:dyDescent="0.2">
      <c r="A135" s="7" t="s">
        <v>36</v>
      </c>
      <c r="B135" s="7" t="s">
        <v>9</v>
      </c>
      <c r="C135" s="10">
        <v>297000</v>
      </c>
      <c r="D135" s="8">
        <v>10642313</v>
      </c>
      <c r="E135" s="9">
        <v>0.06</v>
      </c>
      <c r="F135" s="9">
        <f t="shared" si="15"/>
        <v>2.7907467107949183E-2</v>
      </c>
      <c r="G135" s="7" t="str">
        <f t="shared" si="16"/>
        <v>Mar-2022</v>
      </c>
      <c r="H135" s="8">
        <f t="shared" si="14"/>
        <v>45598</v>
      </c>
      <c r="I135" s="17">
        <f t="shared" si="13"/>
        <v>-0.84647138047138049</v>
      </c>
      <c r="J135" s="17">
        <f t="shared" si="17"/>
        <v>35.8327037037037</v>
      </c>
    </row>
    <row r="136" spans="1:10" x14ac:dyDescent="0.2">
      <c r="A136" s="7" t="s">
        <v>36</v>
      </c>
      <c r="B136" s="7" t="s">
        <v>10</v>
      </c>
      <c r="C136" s="10">
        <v>234000</v>
      </c>
      <c r="D136" s="8">
        <v>8693235</v>
      </c>
      <c r="E136" s="9">
        <v>0.05</v>
      </c>
      <c r="F136" s="9">
        <f t="shared" si="15"/>
        <v>2.6917482387166573E-2</v>
      </c>
      <c r="G136" s="7" t="str">
        <f t="shared" si="16"/>
        <v>Mar-2022</v>
      </c>
      <c r="H136" s="8">
        <f t="shared" si="14"/>
        <v>-1076921</v>
      </c>
      <c r="I136" s="17">
        <f t="shared" ref="I136:I181" si="18">(H136-C136)/C136</f>
        <v>-5.6022264957264953</v>
      </c>
      <c r="J136" s="17">
        <f t="shared" si="17"/>
        <v>37.150576923076926</v>
      </c>
    </row>
    <row r="137" spans="1:10" x14ac:dyDescent="0.2">
      <c r="A137" s="7" t="s">
        <v>37</v>
      </c>
      <c r="B137" s="7" t="s">
        <v>6</v>
      </c>
      <c r="C137" s="10">
        <v>303000</v>
      </c>
      <c r="D137" s="8">
        <v>10200119</v>
      </c>
      <c r="E137" s="9">
        <v>0.06</v>
      </c>
      <c r="F137" s="9">
        <f t="shared" si="15"/>
        <v>2.9705535788356979E-2</v>
      </c>
      <c r="G137" s="7" t="str">
        <f t="shared" si="16"/>
        <v>Apr-2022</v>
      </c>
      <c r="H137" s="8">
        <f t="shared" si="14"/>
        <v>-1669683</v>
      </c>
      <c r="I137" s="17">
        <f t="shared" si="18"/>
        <v>-6.5105049504950498</v>
      </c>
      <c r="J137" s="17">
        <f t="shared" si="17"/>
        <v>33.663759075907592</v>
      </c>
    </row>
    <row r="138" spans="1:10" x14ac:dyDescent="0.2">
      <c r="A138" s="7" t="s">
        <v>37</v>
      </c>
      <c r="B138" s="7" t="s">
        <v>7</v>
      </c>
      <c r="C138" s="10">
        <v>441000</v>
      </c>
      <c r="D138" s="8">
        <v>13622284</v>
      </c>
      <c r="E138" s="9">
        <v>0.79</v>
      </c>
      <c r="F138" s="9">
        <f t="shared" si="15"/>
        <v>3.2373425777938558E-2</v>
      </c>
      <c r="G138" s="7" t="str">
        <f t="shared" si="16"/>
        <v>Apr-2022</v>
      </c>
      <c r="H138" s="8">
        <f t="shared" ref="H138:H181" si="19">D138-D133</f>
        <v>3400644</v>
      </c>
      <c r="I138" s="17">
        <f t="shared" si="18"/>
        <v>6.7112108843537417</v>
      </c>
      <c r="J138" s="17">
        <f t="shared" si="17"/>
        <v>30.889532879818596</v>
      </c>
    </row>
    <row r="139" spans="1:10" x14ac:dyDescent="0.2">
      <c r="A139" s="7" t="s">
        <v>37</v>
      </c>
      <c r="B139" s="7" t="s">
        <v>8</v>
      </c>
      <c r="C139" s="10">
        <v>328000</v>
      </c>
      <c r="D139" s="8">
        <v>10026627</v>
      </c>
      <c r="E139" s="9">
        <v>0.05</v>
      </c>
      <c r="F139" s="9">
        <f t="shared" si="15"/>
        <v>3.2712895373489009E-2</v>
      </c>
      <c r="G139" s="7" t="str">
        <f t="shared" si="16"/>
        <v>Apr-2022</v>
      </c>
      <c r="H139" s="8">
        <f t="shared" si="19"/>
        <v>397622</v>
      </c>
      <c r="I139" s="17">
        <f t="shared" si="18"/>
        <v>0.21226219512195121</v>
      </c>
      <c r="J139" s="17">
        <f t="shared" si="17"/>
        <v>30.56898475609756</v>
      </c>
    </row>
    <row r="140" spans="1:10" x14ac:dyDescent="0.2">
      <c r="A140" s="7" t="s">
        <v>37</v>
      </c>
      <c r="B140" s="7" t="s">
        <v>9</v>
      </c>
      <c r="C140" s="10">
        <v>491000</v>
      </c>
      <c r="D140" s="8">
        <v>11829206</v>
      </c>
      <c r="E140" s="9">
        <v>0.05</v>
      </c>
      <c r="F140" s="9">
        <f t="shared" si="15"/>
        <v>4.1507435072142627E-2</v>
      </c>
      <c r="G140" s="7" t="str">
        <f t="shared" si="16"/>
        <v>Apr-2022</v>
      </c>
      <c r="H140" s="8">
        <f t="shared" si="19"/>
        <v>1186893</v>
      </c>
      <c r="I140" s="17">
        <f t="shared" si="18"/>
        <v>1.4172973523421588</v>
      </c>
      <c r="J140" s="17">
        <f t="shared" si="17"/>
        <v>24.092069246435845</v>
      </c>
    </row>
    <row r="141" spans="1:10" x14ac:dyDescent="0.2">
      <c r="A141" s="7" t="s">
        <v>37</v>
      </c>
      <c r="B141" s="7" t="s">
        <v>10</v>
      </c>
      <c r="C141" s="10">
        <v>451000</v>
      </c>
      <c r="D141" s="8">
        <v>13011268</v>
      </c>
      <c r="E141" s="9">
        <v>0.05</v>
      </c>
      <c r="F141" s="9">
        <f t="shared" si="15"/>
        <v>3.4662263508829422E-2</v>
      </c>
      <c r="G141" s="7" t="str">
        <f t="shared" si="16"/>
        <v>Apr-2022</v>
      </c>
      <c r="H141" s="8">
        <f t="shared" si="19"/>
        <v>4318033</v>
      </c>
      <c r="I141" s="17">
        <f t="shared" si="18"/>
        <v>8.5743525498891344</v>
      </c>
      <c r="J141" s="17">
        <f t="shared" si="17"/>
        <v>28.849818181818183</v>
      </c>
    </row>
    <row r="142" spans="1:10" x14ac:dyDescent="0.2">
      <c r="A142" s="7" t="s">
        <v>38</v>
      </c>
      <c r="B142" s="7" t="s">
        <v>6</v>
      </c>
      <c r="C142" s="10">
        <v>463000</v>
      </c>
      <c r="D142" s="8">
        <v>13616512</v>
      </c>
      <c r="E142" s="9">
        <v>0.06</v>
      </c>
      <c r="F142" s="9">
        <f t="shared" si="15"/>
        <v>3.4002834205999304E-2</v>
      </c>
      <c r="G142" s="7" t="str">
        <f t="shared" si="16"/>
        <v>May-2022</v>
      </c>
      <c r="H142" s="8">
        <f t="shared" si="19"/>
        <v>3416393</v>
      </c>
      <c r="I142" s="17">
        <f t="shared" si="18"/>
        <v>6.3788185745140389</v>
      </c>
      <c r="J142" s="17">
        <f t="shared" si="17"/>
        <v>29.409313174946003</v>
      </c>
    </row>
    <row r="143" spans="1:10" x14ac:dyDescent="0.2">
      <c r="A143" s="7" t="s">
        <v>38</v>
      </c>
      <c r="B143" s="7" t="s">
        <v>7</v>
      </c>
      <c r="C143" s="10">
        <v>372000</v>
      </c>
      <c r="D143" s="8">
        <v>11515771</v>
      </c>
      <c r="E143" s="9">
        <v>0.23</v>
      </c>
      <c r="F143" s="9">
        <f t="shared" si="15"/>
        <v>3.2303525313242161E-2</v>
      </c>
      <c r="G143" s="7" t="str">
        <f t="shared" si="16"/>
        <v>May-2022</v>
      </c>
      <c r="H143" s="8">
        <f t="shared" si="19"/>
        <v>-2106513</v>
      </c>
      <c r="I143" s="17">
        <f t="shared" si="18"/>
        <v>-6.6626693548387097</v>
      </c>
      <c r="J143" s="17">
        <f t="shared" si="17"/>
        <v>30.956373655913978</v>
      </c>
    </row>
    <row r="144" spans="1:10" x14ac:dyDescent="0.2">
      <c r="A144" s="7" t="s">
        <v>38</v>
      </c>
      <c r="B144" s="7" t="s">
        <v>8</v>
      </c>
      <c r="C144" s="10">
        <v>213000</v>
      </c>
      <c r="D144" s="8">
        <v>9860504</v>
      </c>
      <c r="E144" s="9">
        <v>7.0000000000000007E-2</v>
      </c>
      <c r="F144" s="9">
        <f t="shared" si="15"/>
        <v>2.1601329911736761E-2</v>
      </c>
      <c r="G144" s="7" t="str">
        <f t="shared" si="16"/>
        <v>May-2022</v>
      </c>
      <c r="H144" s="8">
        <f t="shared" si="19"/>
        <v>-166123</v>
      </c>
      <c r="I144" s="17">
        <f t="shared" si="18"/>
        <v>-1.7799201877934272</v>
      </c>
      <c r="J144" s="17">
        <f t="shared" si="17"/>
        <v>46.293446009389669</v>
      </c>
    </row>
    <row r="145" spans="1:10" x14ac:dyDescent="0.2">
      <c r="A145" s="7" t="s">
        <v>38</v>
      </c>
      <c r="B145" s="7" t="s">
        <v>9</v>
      </c>
      <c r="C145" s="10">
        <v>420000</v>
      </c>
      <c r="D145" s="8">
        <v>13811017</v>
      </c>
      <c r="E145" s="9">
        <v>0.5</v>
      </c>
      <c r="F145" s="9">
        <f t="shared" si="15"/>
        <v>3.04105048889593E-2</v>
      </c>
      <c r="G145" s="7" t="str">
        <f t="shared" si="16"/>
        <v>May-2022</v>
      </c>
      <c r="H145" s="8">
        <f t="shared" si="19"/>
        <v>1981811</v>
      </c>
      <c r="I145" s="17">
        <f t="shared" si="18"/>
        <v>3.7185976190476189</v>
      </c>
      <c r="J145" s="17">
        <f t="shared" si="17"/>
        <v>32.88337380952381</v>
      </c>
    </row>
    <row r="146" spans="1:10" x14ac:dyDescent="0.2">
      <c r="A146" s="7" t="s">
        <v>38</v>
      </c>
      <c r="B146" s="7" t="s">
        <v>10</v>
      </c>
      <c r="C146" s="10">
        <v>317000</v>
      </c>
      <c r="D146" s="8">
        <v>11352418</v>
      </c>
      <c r="E146" s="9">
        <v>0.14000000000000001</v>
      </c>
      <c r="F146" s="9">
        <f t="shared" si="15"/>
        <v>2.7923566591716409E-2</v>
      </c>
      <c r="G146" s="7" t="str">
        <f t="shared" si="16"/>
        <v>May-2022</v>
      </c>
      <c r="H146" s="8">
        <f t="shared" si="19"/>
        <v>-1658850</v>
      </c>
      <c r="I146" s="17">
        <f t="shared" si="18"/>
        <v>-6.2329652996845422</v>
      </c>
      <c r="J146" s="17">
        <f t="shared" si="17"/>
        <v>35.812044164037857</v>
      </c>
    </row>
    <row r="147" spans="1:10" x14ac:dyDescent="0.2">
      <c r="A147" s="7" t="s">
        <v>39</v>
      </c>
      <c r="B147" s="7" t="s">
        <v>6</v>
      </c>
      <c r="C147" s="10">
        <v>450000</v>
      </c>
      <c r="D147" s="8">
        <v>15620596</v>
      </c>
      <c r="E147" s="9">
        <v>0.08</v>
      </c>
      <c r="F147" s="9">
        <f t="shared" si="15"/>
        <v>2.8808119741397832E-2</v>
      </c>
      <c r="G147" s="7" t="str">
        <f t="shared" si="16"/>
        <v>Jun-2022</v>
      </c>
      <c r="H147" s="8">
        <f t="shared" si="19"/>
        <v>2004084</v>
      </c>
      <c r="I147" s="17">
        <f t="shared" si="18"/>
        <v>3.4535200000000001</v>
      </c>
      <c r="J147" s="17">
        <f t="shared" si="17"/>
        <v>34.712435555555558</v>
      </c>
    </row>
    <row r="148" spans="1:10" x14ac:dyDescent="0.2">
      <c r="A148" s="7" t="s">
        <v>39</v>
      </c>
      <c r="B148" s="7" t="s">
        <v>7</v>
      </c>
      <c r="C148" s="10">
        <v>476000</v>
      </c>
      <c r="D148" s="8">
        <v>15333286</v>
      </c>
      <c r="E148" s="9">
        <v>0.22</v>
      </c>
      <c r="F148" s="9">
        <f t="shared" si="15"/>
        <v>3.1043574091033064E-2</v>
      </c>
      <c r="G148" s="7" t="str">
        <f t="shared" si="16"/>
        <v>Jun-2022</v>
      </c>
      <c r="H148" s="8">
        <f t="shared" si="19"/>
        <v>3817515</v>
      </c>
      <c r="I148" s="17">
        <f t="shared" si="18"/>
        <v>7.0199894957983195</v>
      </c>
      <c r="J148" s="17">
        <f t="shared" si="17"/>
        <v>32.212785714285715</v>
      </c>
    </row>
    <row r="149" spans="1:10" x14ac:dyDescent="0.2">
      <c r="A149" s="7" t="s">
        <v>39</v>
      </c>
      <c r="B149" s="7" t="s">
        <v>8</v>
      </c>
      <c r="C149" s="10">
        <v>300000</v>
      </c>
      <c r="D149" s="8">
        <v>11704563</v>
      </c>
      <c r="E149" s="9">
        <v>0.51</v>
      </c>
      <c r="F149" s="9">
        <f t="shared" si="15"/>
        <v>2.5631029539505235E-2</v>
      </c>
      <c r="G149" s="7" t="str">
        <f t="shared" si="16"/>
        <v>Jun-2022</v>
      </c>
      <c r="H149" s="8">
        <f t="shared" si="19"/>
        <v>1844059</v>
      </c>
      <c r="I149" s="17">
        <f t="shared" si="18"/>
        <v>5.1468633333333331</v>
      </c>
      <c r="J149" s="17">
        <f t="shared" si="17"/>
        <v>39.015210000000003</v>
      </c>
    </row>
    <row r="150" spans="1:10" x14ac:dyDescent="0.2">
      <c r="A150" s="7" t="s">
        <v>39</v>
      </c>
      <c r="B150" s="7" t="s">
        <v>9</v>
      </c>
      <c r="C150" s="10">
        <v>250000</v>
      </c>
      <c r="D150" s="8">
        <v>11870417</v>
      </c>
      <c r="E150" s="9">
        <v>0.08</v>
      </c>
      <c r="F150" s="9">
        <f t="shared" si="15"/>
        <v>2.1060759702039113E-2</v>
      </c>
      <c r="G150" s="7" t="str">
        <f t="shared" si="16"/>
        <v>Jun-2022</v>
      </c>
      <c r="H150" s="8">
        <f t="shared" si="19"/>
        <v>-1940600</v>
      </c>
      <c r="I150" s="17">
        <f t="shared" si="18"/>
        <v>-8.7623999999999995</v>
      </c>
      <c r="J150" s="17">
        <f t="shared" si="17"/>
        <v>47.481667999999999</v>
      </c>
    </row>
    <row r="151" spans="1:10" x14ac:dyDescent="0.2">
      <c r="A151" s="7" t="s">
        <v>39</v>
      </c>
      <c r="B151" s="7" t="s">
        <v>10</v>
      </c>
      <c r="C151" s="10">
        <v>394000</v>
      </c>
      <c r="D151" s="8">
        <v>13413843</v>
      </c>
      <c r="E151" s="9">
        <v>0.11</v>
      </c>
      <c r="F151" s="9">
        <f t="shared" si="15"/>
        <v>2.9372641382488227E-2</v>
      </c>
      <c r="G151" s="7" t="str">
        <f t="shared" si="16"/>
        <v>Jun-2022</v>
      </c>
      <c r="H151" s="8">
        <f t="shared" si="19"/>
        <v>2061425</v>
      </c>
      <c r="I151" s="17">
        <f t="shared" si="18"/>
        <v>4.2320431472081221</v>
      </c>
      <c r="J151" s="17">
        <f t="shared" si="17"/>
        <v>34.045286802030454</v>
      </c>
    </row>
    <row r="152" spans="1:10" x14ac:dyDescent="0.2">
      <c r="A152" s="7" t="s">
        <v>40</v>
      </c>
      <c r="B152" s="7" t="s">
        <v>6</v>
      </c>
      <c r="C152" s="10">
        <v>290000</v>
      </c>
      <c r="D152" s="8">
        <v>14018716</v>
      </c>
      <c r="E152" s="9">
        <v>7.0000000000000007E-2</v>
      </c>
      <c r="F152" s="9">
        <f t="shared" si="15"/>
        <v>2.068663064434717E-2</v>
      </c>
      <c r="G152" s="7" t="str">
        <f t="shared" si="16"/>
        <v>Jul-2022</v>
      </c>
      <c r="H152" s="8">
        <f t="shared" si="19"/>
        <v>-1601880</v>
      </c>
      <c r="I152" s="17">
        <f t="shared" si="18"/>
        <v>-6.5237241379310342</v>
      </c>
      <c r="J152" s="17">
        <f t="shared" si="17"/>
        <v>48.340400000000002</v>
      </c>
    </row>
    <row r="153" spans="1:10" x14ac:dyDescent="0.2">
      <c r="A153" s="7" t="s">
        <v>40</v>
      </c>
      <c r="B153" s="7" t="s">
        <v>7</v>
      </c>
      <c r="C153" s="10">
        <v>404000</v>
      </c>
      <c r="D153" s="8">
        <v>16219687</v>
      </c>
      <c r="E153" s="9">
        <v>0.08</v>
      </c>
      <c r="F153" s="9">
        <f t="shared" si="15"/>
        <v>2.490800223210226E-2</v>
      </c>
      <c r="G153" s="7" t="str">
        <f t="shared" si="16"/>
        <v>Jul-2022</v>
      </c>
      <c r="H153" s="8">
        <f t="shared" si="19"/>
        <v>886401</v>
      </c>
      <c r="I153" s="17">
        <f t="shared" si="18"/>
        <v>1.1940618811881187</v>
      </c>
      <c r="J153" s="17">
        <f t="shared" si="17"/>
        <v>40.147740099009901</v>
      </c>
    </row>
    <row r="154" spans="1:10" x14ac:dyDescent="0.2">
      <c r="A154" s="7" t="s">
        <v>40</v>
      </c>
      <c r="B154" s="7" t="s">
        <v>8</v>
      </c>
      <c r="C154" s="10">
        <v>496000</v>
      </c>
      <c r="D154" s="8">
        <v>17629105</v>
      </c>
      <c r="E154" s="9">
        <v>0.69</v>
      </c>
      <c r="F154" s="9">
        <f t="shared" si="15"/>
        <v>2.8135291042852149E-2</v>
      </c>
      <c r="G154" s="7" t="str">
        <f t="shared" si="16"/>
        <v>Jul-2022</v>
      </c>
      <c r="H154" s="8">
        <f t="shared" si="19"/>
        <v>5924542</v>
      </c>
      <c r="I154" s="17">
        <f t="shared" si="18"/>
        <v>10.944641129032258</v>
      </c>
      <c r="J154" s="17">
        <f t="shared" si="17"/>
        <v>35.542550403225803</v>
      </c>
    </row>
    <row r="155" spans="1:10" x14ac:dyDescent="0.2">
      <c r="A155" s="7" t="s">
        <v>40</v>
      </c>
      <c r="B155" s="7" t="s">
        <v>9</v>
      </c>
      <c r="C155" s="10">
        <v>328000</v>
      </c>
      <c r="D155" s="8">
        <v>13059668</v>
      </c>
      <c r="E155" s="9">
        <v>7.0000000000000007E-2</v>
      </c>
      <c r="F155" s="9">
        <f t="shared" si="15"/>
        <v>2.5115492981904287E-2</v>
      </c>
      <c r="G155" s="7" t="str">
        <f t="shared" si="16"/>
        <v>Jul-2022</v>
      </c>
      <c r="H155" s="8">
        <f t="shared" si="19"/>
        <v>1189251</v>
      </c>
      <c r="I155" s="17">
        <f t="shared" si="18"/>
        <v>2.625765243902439</v>
      </c>
      <c r="J155" s="17">
        <f t="shared" si="17"/>
        <v>39.816060975609759</v>
      </c>
    </row>
    <row r="156" spans="1:10" x14ac:dyDescent="0.2">
      <c r="A156" s="7" t="s">
        <v>40</v>
      </c>
      <c r="B156" s="7" t="s">
        <v>10</v>
      </c>
      <c r="C156" s="10">
        <v>406000</v>
      </c>
      <c r="D156" s="8">
        <v>16134697</v>
      </c>
      <c r="E156" s="9">
        <v>0.09</v>
      </c>
      <c r="F156" s="9">
        <f t="shared" si="15"/>
        <v>2.5163162345100128E-2</v>
      </c>
      <c r="G156" s="7" t="str">
        <f t="shared" si="16"/>
        <v>Jul-2022</v>
      </c>
      <c r="H156" s="8">
        <f t="shared" si="19"/>
        <v>2720854</v>
      </c>
      <c r="I156" s="17">
        <f t="shared" si="18"/>
        <v>5.701610837438424</v>
      </c>
      <c r="J156" s="17">
        <f t="shared" si="17"/>
        <v>39.74063300492611</v>
      </c>
    </row>
    <row r="157" spans="1:10" x14ac:dyDescent="0.2">
      <c r="A157" s="7" t="s">
        <v>41</v>
      </c>
      <c r="B157" s="7" t="s">
        <v>6</v>
      </c>
      <c r="C157" s="10">
        <v>210000</v>
      </c>
      <c r="D157" s="8">
        <v>11598021</v>
      </c>
      <c r="E157" s="9">
        <v>0.05</v>
      </c>
      <c r="F157" s="9">
        <f t="shared" si="15"/>
        <v>1.8106537313564097E-2</v>
      </c>
      <c r="G157" s="7" t="str">
        <f t="shared" si="16"/>
        <v>Aug-2022</v>
      </c>
      <c r="H157" s="8">
        <f t="shared" si="19"/>
        <v>-2420695</v>
      </c>
      <c r="I157" s="17">
        <f t="shared" si="18"/>
        <v>-12.527119047619047</v>
      </c>
      <c r="J157" s="17">
        <f t="shared" si="17"/>
        <v>55.228671428571431</v>
      </c>
    </row>
    <row r="158" spans="1:10" x14ac:dyDescent="0.2">
      <c r="A158" s="7" t="s">
        <v>41</v>
      </c>
      <c r="B158" s="7" t="s">
        <v>7</v>
      </c>
      <c r="C158" s="10">
        <v>391000</v>
      </c>
      <c r="D158" s="8">
        <v>14765223</v>
      </c>
      <c r="E158" s="9">
        <v>0.5</v>
      </c>
      <c r="F158" s="9">
        <f t="shared" si="15"/>
        <v>2.6481144240083607E-2</v>
      </c>
      <c r="G158" s="7" t="str">
        <f t="shared" si="16"/>
        <v>Aug-2022</v>
      </c>
      <c r="H158" s="8">
        <f t="shared" si="19"/>
        <v>-1454464</v>
      </c>
      <c r="I158" s="17">
        <f t="shared" si="18"/>
        <v>-4.7198567774936064</v>
      </c>
      <c r="J158" s="17">
        <f t="shared" si="17"/>
        <v>37.76271867007673</v>
      </c>
    </row>
    <row r="159" spans="1:10" x14ac:dyDescent="0.2">
      <c r="A159" s="7" t="s">
        <v>41</v>
      </c>
      <c r="B159" s="7" t="s">
        <v>8</v>
      </c>
      <c r="C159" s="10">
        <v>226000</v>
      </c>
      <c r="D159" s="8">
        <v>9980041</v>
      </c>
      <c r="E159" s="9">
        <v>0.05</v>
      </c>
      <c r="F159" s="9">
        <f t="shared" si="15"/>
        <v>2.2645197549789626E-2</v>
      </c>
      <c r="G159" s="7" t="str">
        <f t="shared" si="16"/>
        <v>Aug-2022</v>
      </c>
      <c r="H159" s="8">
        <f t="shared" si="19"/>
        <v>-7649064</v>
      </c>
      <c r="I159" s="17">
        <f t="shared" si="18"/>
        <v>-34.84541592920354</v>
      </c>
      <c r="J159" s="17">
        <f t="shared" si="17"/>
        <v>44.159473451327436</v>
      </c>
    </row>
    <row r="160" spans="1:10" x14ac:dyDescent="0.2">
      <c r="A160" s="7" t="s">
        <v>41</v>
      </c>
      <c r="B160" s="7" t="s">
        <v>9</v>
      </c>
      <c r="C160" s="10">
        <v>290000</v>
      </c>
      <c r="D160" s="8">
        <v>12679916</v>
      </c>
      <c r="E160" s="9">
        <v>0.34</v>
      </c>
      <c r="F160" s="9">
        <f t="shared" si="15"/>
        <v>2.2870813970691919E-2</v>
      </c>
      <c r="G160" s="7" t="str">
        <f t="shared" si="16"/>
        <v>Aug-2022</v>
      </c>
      <c r="H160" s="8">
        <f t="shared" si="19"/>
        <v>-379752</v>
      </c>
      <c r="I160" s="17">
        <f t="shared" si="18"/>
        <v>-2.3094896551724138</v>
      </c>
      <c r="J160" s="17">
        <f t="shared" si="17"/>
        <v>43.723848275862068</v>
      </c>
    </row>
    <row r="161" spans="1:10" x14ac:dyDescent="0.2">
      <c r="A161" s="7" t="s">
        <v>41</v>
      </c>
      <c r="B161" s="7" t="s">
        <v>10</v>
      </c>
      <c r="C161" s="10">
        <v>204000</v>
      </c>
      <c r="D161" s="8">
        <v>10468129</v>
      </c>
      <c r="E161" s="9">
        <v>0.06</v>
      </c>
      <c r="F161" s="9">
        <f t="shared" si="15"/>
        <v>1.9487723164282749E-2</v>
      </c>
      <c r="G161" s="7" t="str">
        <f t="shared" si="16"/>
        <v>Aug-2022</v>
      </c>
      <c r="H161" s="8">
        <f t="shared" si="19"/>
        <v>-5666568</v>
      </c>
      <c r="I161" s="17">
        <f t="shared" si="18"/>
        <v>-28.77729411764706</v>
      </c>
      <c r="J161" s="17">
        <f t="shared" si="17"/>
        <v>51.314357843137252</v>
      </c>
    </row>
    <row r="162" spans="1:10" x14ac:dyDescent="0.2">
      <c r="A162" s="7" t="s">
        <v>42</v>
      </c>
      <c r="B162" s="7" t="s">
        <v>6</v>
      </c>
      <c r="C162" s="10">
        <v>307000</v>
      </c>
      <c r="D162" s="8">
        <v>11313092</v>
      </c>
      <c r="E162" s="9">
        <v>0.06</v>
      </c>
      <c r="F162" s="9">
        <f t="shared" si="15"/>
        <v>2.7136701442894658E-2</v>
      </c>
      <c r="G162" s="7" t="str">
        <f t="shared" si="16"/>
        <v>Sep-2022</v>
      </c>
      <c r="H162" s="8">
        <f t="shared" si="19"/>
        <v>-284929</v>
      </c>
      <c r="I162" s="17">
        <f t="shared" si="18"/>
        <v>-1.9281074918566776</v>
      </c>
      <c r="J162" s="17">
        <f t="shared" si="17"/>
        <v>36.850462540716613</v>
      </c>
    </row>
    <row r="163" spans="1:10" x14ac:dyDescent="0.2">
      <c r="A163" s="7" t="s">
        <v>42</v>
      </c>
      <c r="B163" s="7" t="s">
        <v>7</v>
      </c>
      <c r="C163" s="10">
        <v>386000</v>
      </c>
      <c r="D163" s="8">
        <v>12348882</v>
      </c>
      <c r="E163" s="9">
        <v>0.31</v>
      </c>
      <c r="F163" s="9">
        <f t="shared" si="15"/>
        <v>3.1257890390401333E-2</v>
      </c>
      <c r="G163" s="7" t="str">
        <f t="shared" si="16"/>
        <v>Sep-2022</v>
      </c>
      <c r="H163" s="8">
        <f t="shared" si="19"/>
        <v>-2416341</v>
      </c>
      <c r="I163" s="17">
        <f t="shared" si="18"/>
        <v>-7.2599507772020724</v>
      </c>
      <c r="J163" s="17">
        <f t="shared" si="17"/>
        <v>31.991922279792746</v>
      </c>
    </row>
    <row r="164" spans="1:10" x14ac:dyDescent="0.2">
      <c r="A164" s="7" t="s">
        <v>42</v>
      </c>
      <c r="B164" s="7" t="s">
        <v>8</v>
      </c>
      <c r="C164" s="10">
        <v>355000</v>
      </c>
      <c r="D164" s="8">
        <v>13183269</v>
      </c>
      <c r="E164" s="9">
        <v>0.12</v>
      </c>
      <c r="F164" s="9">
        <f t="shared" si="15"/>
        <v>2.6928070723581533E-2</v>
      </c>
      <c r="G164" s="7" t="str">
        <f t="shared" si="16"/>
        <v>Sep-2022</v>
      </c>
      <c r="H164" s="8">
        <f t="shared" si="19"/>
        <v>3203228</v>
      </c>
      <c r="I164" s="17">
        <f t="shared" si="18"/>
        <v>8.0231774647887324</v>
      </c>
      <c r="J164" s="17">
        <f t="shared" si="17"/>
        <v>37.135969014084509</v>
      </c>
    </row>
    <row r="165" spans="1:10" x14ac:dyDescent="0.2">
      <c r="A165" s="7" t="s">
        <v>42</v>
      </c>
      <c r="B165" s="7" t="s">
        <v>9</v>
      </c>
      <c r="C165" s="10">
        <v>499000</v>
      </c>
      <c r="D165" s="8">
        <v>14933693</v>
      </c>
      <c r="E165" s="9">
        <v>0.13</v>
      </c>
      <c r="F165" s="9">
        <f t="shared" si="15"/>
        <v>3.3414373792202641E-2</v>
      </c>
      <c r="G165" s="7" t="str">
        <f t="shared" si="16"/>
        <v>Sep-2022</v>
      </c>
      <c r="H165" s="8">
        <f t="shared" si="19"/>
        <v>2253777</v>
      </c>
      <c r="I165" s="17">
        <f t="shared" si="18"/>
        <v>3.5165871743486976</v>
      </c>
      <c r="J165" s="17">
        <f t="shared" si="17"/>
        <v>29.927240480961924</v>
      </c>
    </row>
    <row r="166" spans="1:10" x14ac:dyDescent="0.2">
      <c r="A166" s="7" t="s">
        <v>42</v>
      </c>
      <c r="B166" s="7" t="s">
        <v>10</v>
      </c>
      <c r="C166" s="10">
        <v>223000</v>
      </c>
      <c r="D166" s="8">
        <v>9983010</v>
      </c>
      <c r="E166" s="9">
        <v>0.38</v>
      </c>
      <c r="F166" s="9">
        <f t="shared" si="15"/>
        <v>2.2337952180755103E-2</v>
      </c>
      <c r="G166" s="7" t="str">
        <f t="shared" si="16"/>
        <v>Sep-2022</v>
      </c>
      <c r="H166" s="8">
        <f t="shared" si="19"/>
        <v>-485119</v>
      </c>
      <c r="I166" s="17">
        <f t="shared" si="18"/>
        <v>-3.175421524663677</v>
      </c>
      <c r="J166" s="17">
        <f t="shared" si="17"/>
        <v>44.766860986547087</v>
      </c>
    </row>
    <row r="167" spans="1:10" x14ac:dyDescent="0.2">
      <c r="A167" s="7" t="s">
        <v>43</v>
      </c>
      <c r="B167" s="7" t="s">
        <v>6</v>
      </c>
      <c r="C167" s="10">
        <v>497000</v>
      </c>
      <c r="D167" s="8">
        <v>11887376</v>
      </c>
      <c r="E167" s="9">
        <v>0.05</v>
      </c>
      <c r="F167" s="9">
        <f t="shared" si="15"/>
        <v>4.1809058618150888E-2</v>
      </c>
      <c r="G167" s="7" t="str">
        <f t="shared" si="16"/>
        <v>Oct-2022</v>
      </c>
      <c r="H167" s="8">
        <f t="shared" si="19"/>
        <v>574284</v>
      </c>
      <c r="I167" s="17">
        <f t="shared" si="18"/>
        <v>0.1555010060362173</v>
      </c>
      <c r="J167" s="17">
        <f t="shared" si="17"/>
        <v>23.918261569416497</v>
      </c>
    </row>
    <row r="168" spans="1:10" x14ac:dyDescent="0.2">
      <c r="A168" s="7" t="s">
        <v>43</v>
      </c>
      <c r="B168" s="7" t="s">
        <v>7</v>
      </c>
      <c r="C168" s="10">
        <v>295000</v>
      </c>
      <c r="D168" s="8">
        <v>10565217</v>
      </c>
      <c r="E168" s="9">
        <v>0.09</v>
      </c>
      <c r="F168" s="9">
        <f t="shared" si="15"/>
        <v>2.7921811733729651E-2</v>
      </c>
      <c r="G168" s="7" t="str">
        <f t="shared" si="16"/>
        <v>Oct-2022</v>
      </c>
      <c r="H168" s="8">
        <f t="shared" si="19"/>
        <v>-1783665</v>
      </c>
      <c r="I168" s="17">
        <f t="shared" si="18"/>
        <v>-7.0463220338983055</v>
      </c>
      <c r="J168" s="17">
        <f t="shared" si="17"/>
        <v>35.814294915254237</v>
      </c>
    </row>
    <row r="169" spans="1:10" x14ac:dyDescent="0.2">
      <c r="A169" s="7" t="s">
        <v>43</v>
      </c>
      <c r="B169" s="7" t="s">
        <v>8</v>
      </c>
      <c r="C169" s="10">
        <v>495000</v>
      </c>
      <c r="D169" s="8">
        <v>11663467</v>
      </c>
      <c r="E169" s="9">
        <v>0.59</v>
      </c>
      <c r="F169" s="9">
        <f t="shared" si="15"/>
        <v>4.2440210959571456E-2</v>
      </c>
      <c r="G169" s="7" t="str">
        <f t="shared" si="16"/>
        <v>Oct-2022</v>
      </c>
      <c r="H169" s="8">
        <f t="shared" si="19"/>
        <v>-1519802</v>
      </c>
      <c r="I169" s="17">
        <f t="shared" si="18"/>
        <v>-4.070307070707071</v>
      </c>
      <c r="J169" s="17">
        <f t="shared" si="17"/>
        <v>23.562559595959595</v>
      </c>
    </row>
    <row r="170" spans="1:10" x14ac:dyDescent="0.2">
      <c r="A170" s="7" t="s">
        <v>43</v>
      </c>
      <c r="B170" s="7" t="s">
        <v>9</v>
      </c>
      <c r="C170" s="10">
        <v>428000</v>
      </c>
      <c r="D170" s="8">
        <v>12681661</v>
      </c>
      <c r="E170" s="9">
        <v>0.08</v>
      </c>
      <c r="F170" s="9">
        <f t="shared" si="15"/>
        <v>3.3749522243182499E-2</v>
      </c>
      <c r="G170" s="7" t="str">
        <f t="shared" si="16"/>
        <v>Oct-2022</v>
      </c>
      <c r="H170" s="8">
        <f t="shared" si="19"/>
        <v>-2252032</v>
      </c>
      <c r="I170" s="17">
        <f t="shared" si="18"/>
        <v>-6.2617570093457946</v>
      </c>
      <c r="J170" s="17">
        <f t="shared" si="17"/>
        <v>29.630049065420561</v>
      </c>
    </row>
    <row r="171" spans="1:10" x14ac:dyDescent="0.2">
      <c r="A171" s="7" t="s">
        <v>43</v>
      </c>
      <c r="B171" s="7" t="s">
        <v>10</v>
      </c>
      <c r="C171" s="10">
        <v>268000</v>
      </c>
      <c r="D171" s="8">
        <v>9491006</v>
      </c>
      <c r="E171" s="9">
        <v>0.19</v>
      </c>
      <c r="F171" s="9">
        <f t="shared" si="15"/>
        <v>2.8237259569744239E-2</v>
      </c>
      <c r="G171" s="7" t="str">
        <f t="shared" si="16"/>
        <v>Oct-2022</v>
      </c>
      <c r="H171" s="8">
        <f t="shared" si="19"/>
        <v>-492004</v>
      </c>
      <c r="I171" s="17">
        <f t="shared" si="18"/>
        <v>-2.8358358208955226</v>
      </c>
      <c r="J171" s="17">
        <f t="shared" si="17"/>
        <v>35.414201492537316</v>
      </c>
    </row>
    <row r="172" spans="1:10" x14ac:dyDescent="0.2">
      <c r="A172" s="7" t="s">
        <v>44</v>
      </c>
      <c r="B172" s="7" t="s">
        <v>6</v>
      </c>
      <c r="C172" s="10">
        <v>457000</v>
      </c>
      <c r="D172" s="8">
        <v>14659155</v>
      </c>
      <c r="E172" s="9">
        <v>0.15</v>
      </c>
      <c r="F172" s="9">
        <f t="shared" si="15"/>
        <v>3.1175057498198225E-2</v>
      </c>
      <c r="G172" s="7" t="str">
        <f t="shared" si="16"/>
        <v>Nov-2022</v>
      </c>
      <c r="H172" s="8">
        <f t="shared" si="19"/>
        <v>2771779</v>
      </c>
      <c r="I172" s="17">
        <f t="shared" si="18"/>
        <v>5.0651619256017506</v>
      </c>
      <c r="J172" s="17">
        <f t="shared" si="17"/>
        <v>32.076925601750546</v>
      </c>
    </row>
    <row r="173" spans="1:10" x14ac:dyDescent="0.2">
      <c r="A173" s="7" t="s">
        <v>44</v>
      </c>
      <c r="B173" s="7" t="s">
        <v>7</v>
      </c>
      <c r="C173" s="10">
        <v>306000</v>
      </c>
      <c r="D173" s="8">
        <v>12503153</v>
      </c>
      <c r="E173" s="9">
        <v>0.05</v>
      </c>
      <c r="F173" s="9">
        <f t="shared" si="15"/>
        <v>2.4473826721947655E-2</v>
      </c>
      <c r="G173" s="7" t="str">
        <f t="shared" si="16"/>
        <v>Nov-2022</v>
      </c>
      <c r="H173" s="8">
        <f t="shared" si="19"/>
        <v>1937936</v>
      </c>
      <c r="I173" s="17">
        <f t="shared" si="18"/>
        <v>5.3331241830065359</v>
      </c>
      <c r="J173" s="17">
        <f t="shared" si="17"/>
        <v>40.859977124183004</v>
      </c>
    </row>
    <row r="174" spans="1:10" x14ac:dyDescent="0.2">
      <c r="A174" s="7" t="s">
        <v>44</v>
      </c>
      <c r="B174" s="7" t="s">
        <v>8</v>
      </c>
      <c r="C174" s="10">
        <v>342000</v>
      </c>
      <c r="D174" s="8">
        <v>13084057</v>
      </c>
      <c r="E174" s="9">
        <v>0.34</v>
      </c>
      <c r="F174" s="9">
        <f t="shared" si="15"/>
        <v>2.6138681603114385E-2</v>
      </c>
      <c r="G174" s="7" t="str">
        <f t="shared" si="16"/>
        <v>Nov-2022</v>
      </c>
      <c r="H174" s="8">
        <f t="shared" si="19"/>
        <v>1420590</v>
      </c>
      <c r="I174" s="17">
        <f t="shared" si="18"/>
        <v>3.1537719298245612</v>
      </c>
      <c r="J174" s="17">
        <f t="shared" si="17"/>
        <v>38.257476608187133</v>
      </c>
    </row>
    <row r="175" spans="1:10" x14ac:dyDescent="0.2">
      <c r="A175" s="7" t="s">
        <v>44</v>
      </c>
      <c r="B175" s="7" t="s">
        <v>9</v>
      </c>
      <c r="C175" s="10">
        <v>415000</v>
      </c>
      <c r="D175" s="8">
        <v>16291962</v>
      </c>
      <c r="E175" s="9">
        <v>0.21</v>
      </c>
      <c r="F175" s="9">
        <f t="shared" si="15"/>
        <v>2.547268401436242E-2</v>
      </c>
      <c r="G175" s="7" t="str">
        <f t="shared" si="16"/>
        <v>Nov-2022</v>
      </c>
      <c r="H175" s="8">
        <f t="shared" si="19"/>
        <v>3610301</v>
      </c>
      <c r="I175" s="17">
        <f t="shared" si="18"/>
        <v>7.6995204819277108</v>
      </c>
      <c r="J175" s="17">
        <f t="shared" si="17"/>
        <v>39.257739759036141</v>
      </c>
    </row>
    <row r="176" spans="1:10" x14ac:dyDescent="0.2">
      <c r="A176" s="7" t="s">
        <v>44</v>
      </c>
      <c r="B176" s="7" t="s">
        <v>10</v>
      </c>
      <c r="C176" s="10">
        <v>235000</v>
      </c>
      <c r="D176" s="8">
        <v>12299452</v>
      </c>
      <c r="E176" s="9">
        <v>0.25</v>
      </c>
      <c r="F176" s="9">
        <f t="shared" si="15"/>
        <v>1.9106542307738589E-2</v>
      </c>
      <c r="G176" s="7" t="str">
        <f t="shared" si="16"/>
        <v>Nov-2022</v>
      </c>
      <c r="H176" s="8">
        <f t="shared" si="19"/>
        <v>2808446</v>
      </c>
      <c r="I176" s="17">
        <f t="shared" si="18"/>
        <v>10.950834042553192</v>
      </c>
      <c r="J176" s="17">
        <f t="shared" si="17"/>
        <v>52.338093617021279</v>
      </c>
    </row>
    <row r="177" spans="1:10" x14ac:dyDescent="0.2">
      <c r="A177" s="7" t="s">
        <v>45</v>
      </c>
      <c r="B177" s="7" t="s">
        <v>6</v>
      </c>
      <c r="C177" s="10">
        <v>226000</v>
      </c>
      <c r="D177" s="8">
        <v>13515252</v>
      </c>
      <c r="E177" s="9">
        <v>0.42</v>
      </c>
      <c r="F177" s="9">
        <f t="shared" si="15"/>
        <v>1.6721848767599745E-2</v>
      </c>
      <c r="G177" s="7" t="str">
        <f t="shared" si="16"/>
        <v>Dec-2022</v>
      </c>
      <c r="H177" s="8">
        <f t="shared" si="19"/>
        <v>-1143903</v>
      </c>
      <c r="I177" s="17">
        <f t="shared" si="18"/>
        <v>-6.0615176991150443</v>
      </c>
      <c r="J177" s="17">
        <f t="shared" si="17"/>
        <v>59.802</v>
      </c>
    </row>
    <row r="178" spans="1:10" x14ac:dyDescent="0.2">
      <c r="A178" s="7" t="s">
        <v>45</v>
      </c>
      <c r="B178" s="7" t="s">
        <v>7</v>
      </c>
      <c r="C178" s="10">
        <v>421000</v>
      </c>
      <c r="D178" s="8">
        <v>16628992</v>
      </c>
      <c r="E178" s="9">
        <v>0.05</v>
      </c>
      <c r="F178" s="9">
        <f t="shared" si="15"/>
        <v>2.5317229090013393E-2</v>
      </c>
      <c r="G178" s="7" t="str">
        <f t="shared" si="16"/>
        <v>Dec-2022</v>
      </c>
      <c r="H178" s="8">
        <f t="shared" si="19"/>
        <v>4125839</v>
      </c>
      <c r="I178" s="17">
        <f t="shared" si="18"/>
        <v>8.8000926365795724</v>
      </c>
      <c r="J178" s="17">
        <f t="shared" si="17"/>
        <v>39.498793349168643</v>
      </c>
    </row>
    <row r="179" spans="1:10" x14ac:dyDescent="0.2">
      <c r="A179" s="7" t="s">
        <v>45</v>
      </c>
      <c r="B179" s="7" t="s">
        <v>8</v>
      </c>
      <c r="C179" s="10">
        <v>276000</v>
      </c>
      <c r="D179" s="8">
        <v>13785379</v>
      </c>
      <c r="E179" s="9">
        <v>0.06</v>
      </c>
      <c r="F179" s="9">
        <f t="shared" si="15"/>
        <v>2.002121232938173E-2</v>
      </c>
      <c r="G179" s="7" t="str">
        <f t="shared" si="16"/>
        <v>Dec-2022</v>
      </c>
      <c r="H179" s="8">
        <f t="shared" si="19"/>
        <v>701322</v>
      </c>
      <c r="I179" s="17">
        <f t="shared" si="18"/>
        <v>1.5410217391304348</v>
      </c>
      <c r="J179" s="17">
        <f t="shared" si="17"/>
        <v>49.94702536231884</v>
      </c>
    </row>
    <row r="180" spans="1:10" x14ac:dyDescent="0.2">
      <c r="A180" s="7" t="s">
        <v>45</v>
      </c>
      <c r="B180" s="7" t="s">
        <v>9</v>
      </c>
      <c r="C180" s="10">
        <v>331000</v>
      </c>
      <c r="D180" s="8">
        <v>14035171</v>
      </c>
      <c r="E180" s="9">
        <v>0.33</v>
      </c>
      <c r="F180" s="9">
        <f t="shared" si="15"/>
        <v>2.3583610060753803E-2</v>
      </c>
      <c r="G180" s="7" t="str">
        <f t="shared" si="16"/>
        <v>Dec-2022</v>
      </c>
      <c r="H180" s="8">
        <f t="shared" si="19"/>
        <v>-2256791</v>
      </c>
      <c r="I180" s="17">
        <f t="shared" si="18"/>
        <v>-7.818099697885196</v>
      </c>
      <c r="J180" s="17">
        <f t="shared" si="17"/>
        <v>42.40232930513595</v>
      </c>
    </row>
    <row r="181" spans="1:10" x14ac:dyDescent="0.2">
      <c r="A181" s="7" t="s">
        <v>45</v>
      </c>
      <c r="B181" s="7" t="s">
        <v>10</v>
      </c>
      <c r="C181" s="10">
        <v>302000</v>
      </c>
      <c r="D181" s="8">
        <v>13156272</v>
      </c>
      <c r="E181" s="9">
        <v>0.14000000000000001</v>
      </c>
      <c r="F181" s="9">
        <f t="shared" si="15"/>
        <v>2.2954830973394288E-2</v>
      </c>
      <c r="G181" s="7" t="str">
        <f t="shared" si="16"/>
        <v>Dec-2022</v>
      </c>
      <c r="H181" s="8">
        <f t="shared" si="19"/>
        <v>856820</v>
      </c>
      <c r="I181" s="17">
        <f t="shared" si="18"/>
        <v>1.8371523178807947</v>
      </c>
      <c r="J181" s="17">
        <f t="shared" si="17"/>
        <v>43.563814569536426</v>
      </c>
    </row>
    <row r="182" spans="1:10" x14ac:dyDescent="0.2">
      <c r="J182" s="44">
        <f>AVERAGE(J122:J181)</f>
        <v>36.657746698164623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B6D5-4123-4740-932D-75DDABFEFBF1}">
  <dimension ref="A3:M42"/>
  <sheetViews>
    <sheetView workbookViewId="0">
      <selection activeCell="A3" sqref="A3:M42"/>
      <pivotSelection pane="bottomRight" showHeader="1" activeRow="2" click="1" r:id="rId1">
        <pivotArea type="all" dataOnly="0" outline="0" fieldPosition="0"/>
      </pivotSelection>
    </sheetView>
  </sheetViews>
  <sheetFormatPr baseColWidth="10" defaultRowHeight="15" x14ac:dyDescent="0.2"/>
  <cols>
    <col min="1" max="1" width="12.1640625" bestFit="1" customWidth="1"/>
    <col min="2" max="2" width="17.6640625" bestFit="1" customWidth="1"/>
    <col min="3" max="3" width="15.1640625" bestFit="1" customWidth="1"/>
    <col min="4" max="4" width="17.6640625" bestFit="1" customWidth="1"/>
    <col min="5" max="5" width="15.1640625" bestFit="1" customWidth="1"/>
    <col min="6" max="6" width="17.6640625" bestFit="1" customWidth="1"/>
    <col min="7" max="7" width="15.1640625" bestFit="1" customWidth="1"/>
    <col min="8" max="8" width="17.6640625" bestFit="1" customWidth="1"/>
    <col min="9" max="9" width="15.1640625" bestFit="1" customWidth="1"/>
    <col min="10" max="10" width="17.6640625" bestFit="1" customWidth="1"/>
    <col min="11" max="11" width="15.1640625" bestFit="1" customWidth="1"/>
    <col min="12" max="12" width="22" bestFit="1" customWidth="1"/>
    <col min="13" max="13" width="17.83203125" bestFit="1" customWidth="1"/>
    <col min="14" max="14" width="17.6640625" bestFit="1" customWidth="1"/>
    <col min="15" max="15" width="15.1640625" bestFit="1" customWidth="1"/>
    <col min="16" max="16" width="37.1640625" bestFit="1" customWidth="1"/>
    <col min="17" max="17" width="22" bestFit="1" customWidth="1"/>
    <col min="18" max="18" width="17.83203125" bestFit="1" customWidth="1"/>
    <col min="19" max="19" width="41.33203125" bestFit="1" customWidth="1"/>
    <col min="20" max="37" width="10.1640625" bestFit="1" customWidth="1"/>
    <col min="38" max="38" width="10" bestFit="1" customWidth="1"/>
  </cols>
  <sheetData>
    <row r="3" spans="1:13" x14ac:dyDescent="0.2">
      <c r="B3" s="25" t="s">
        <v>115</v>
      </c>
    </row>
    <row r="4" spans="1:13" x14ac:dyDescent="0.2">
      <c r="B4" t="s">
        <v>10</v>
      </c>
      <c r="D4" t="s">
        <v>6</v>
      </c>
      <c r="F4" t="s">
        <v>7</v>
      </c>
      <c r="H4" t="s">
        <v>9</v>
      </c>
      <c r="J4" t="s">
        <v>8</v>
      </c>
      <c r="L4" t="s">
        <v>117</v>
      </c>
      <c r="M4" t="s">
        <v>118</v>
      </c>
    </row>
    <row r="5" spans="1:13" x14ac:dyDescent="0.2">
      <c r="A5" s="25" t="s">
        <v>113</v>
      </c>
      <c r="B5" t="s">
        <v>116</v>
      </c>
      <c r="C5" t="s">
        <v>119</v>
      </c>
      <c r="D5" t="s">
        <v>116</v>
      </c>
      <c r="E5" t="s">
        <v>119</v>
      </c>
      <c r="F5" t="s">
        <v>116</v>
      </c>
      <c r="G5" t="s">
        <v>119</v>
      </c>
      <c r="H5" t="s">
        <v>116</v>
      </c>
      <c r="I5" t="s">
        <v>119</v>
      </c>
      <c r="J5" t="s">
        <v>116</v>
      </c>
      <c r="K5" t="s">
        <v>119</v>
      </c>
    </row>
    <row r="6" spans="1:13" x14ac:dyDescent="0.2">
      <c r="A6" s="26" t="s">
        <v>5</v>
      </c>
      <c r="B6" s="27">
        <v>476000</v>
      </c>
      <c r="C6" s="28">
        <v>10203030</v>
      </c>
      <c r="D6" s="27">
        <v>330000</v>
      </c>
      <c r="E6" s="28">
        <v>9736612</v>
      </c>
      <c r="F6" s="27">
        <v>307000</v>
      </c>
      <c r="G6" s="28">
        <v>8815331</v>
      </c>
      <c r="H6" s="27">
        <v>373000</v>
      </c>
      <c r="I6" s="28">
        <v>9681593</v>
      </c>
      <c r="J6" s="27">
        <v>296000</v>
      </c>
      <c r="K6" s="28">
        <v>9801435</v>
      </c>
      <c r="L6" s="27">
        <v>1782000</v>
      </c>
      <c r="M6" s="28">
        <v>48238001</v>
      </c>
    </row>
    <row r="7" spans="1:13" x14ac:dyDescent="0.2">
      <c r="A7" s="26" t="s">
        <v>11</v>
      </c>
      <c r="B7" s="27">
        <v>483000</v>
      </c>
      <c r="C7" s="28">
        <v>11744765</v>
      </c>
      <c r="D7" s="27">
        <v>475000</v>
      </c>
      <c r="E7" s="28">
        <v>11907769</v>
      </c>
      <c r="F7" s="27">
        <v>365000</v>
      </c>
      <c r="G7" s="28">
        <v>10529568</v>
      </c>
      <c r="H7" s="27">
        <v>251000</v>
      </c>
      <c r="I7" s="28">
        <v>9383686</v>
      </c>
      <c r="J7" s="27">
        <v>499000</v>
      </c>
      <c r="K7" s="28">
        <v>12804773</v>
      </c>
      <c r="L7" s="27">
        <v>2073000</v>
      </c>
      <c r="M7" s="28">
        <v>56370561</v>
      </c>
    </row>
    <row r="8" spans="1:13" x14ac:dyDescent="0.2">
      <c r="A8" s="26" t="s">
        <v>12</v>
      </c>
      <c r="B8" s="27">
        <v>293000</v>
      </c>
      <c r="C8" s="28">
        <v>9339281</v>
      </c>
      <c r="D8" s="27">
        <v>413000</v>
      </c>
      <c r="E8" s="28">
        <v>10694756</v>
      </c>
      <c r="F8" s="27">
        <v>464000</v>
      </c>
      <c r="G8" s="28">
        <v>13387633</v>
      </c>
      <c r="H8" s="27">
        <v>251000</v>
      </c>
      <c r="I8" s="28">
        <v>9330606</v>
      </c>
      <c r="J8" s="27">
        <v>330000</v>
      </c>
      <c r="K8" s="28">
        <v>10729381</v>
      </c>
      <c r="L8" s="27">
        <v>1751000</v>
      </c>
      <c r="M8" s="28">
        <v>53481657</v>
      </c>
    </row>
    <row r="9" spans="1:13" x14ac:dyDescent="0.2">
      <c r="A9" s="26" t="s">
        <v>13</v>
      </c>
      <c r="B9" s="27">
        <v>347000</v>
      </c>
      <c r="C9" s="28">
        <v>11410767</v>
      </c>
      <c r="D9" s="27">
        <v>266000</v>
      </c>
      <c r="E9" s="28">
        <v>9804550</v>
      </c>
      <c r="F9" s="27">
        <v>344000</v>
      </c>
      <c r="G9" s="28">
        <v>12385041</v>
      </c>
      <c r="H9" s="27">
        <v>486000</v>
      </c>
      <c r="I9" s="28">
        <v>13031147</v>
      </c>
      <c r="J9" s="27">
        <v>394000</v>
      </c>
      <c r="K9" s="28">
        <v>10862673</v>
      </c>
      <c r="L9" s="27">
        <v>1837000</v>
      </c>
      <c r="M9" s="28">
        <v>57494178</v>
      </c>
    </row>
    <row r="10" spans="1:13" x14ac:dyDescent="0.2">
      <c r="A10" s="26" t="s">
        <v>14</v>
      </c>
      <c r="B10" s="27">
        <v>486000</v>
      </c>
      <c r="C10" s="28">
        <v>14499497</v>
      </c>
      <c r="D10" s="27">
        <v>500000</v>
      </c>
      <c r="E10" s="28">
        <v>13547159</v>
      </c>
      <c r="F10" s="27">
        <v>380000</v>
      </c>
      <c r="G10" s="28">
        <v>11241223</v>
      </c>
      <c r="H10" s="27">
        <v>270000</v>
      </c>
      <c r="I10" s="28">
        <v>11354628</v>
      </c>
      <c r="J10" s="27">
        <v>245000</v>
      </c>
      <c r="K10" s="28">
        <v>10147820</v>
      </c>
      <c r="L10" s="27">
        <v>1881000</v>
      </c>
      <c r="M10" s="28">
        <v>60790327</v>
      </c>
    </row>
    <row r="11" spans="1:13" x14ac:dyDescent="0.2">
      <c r="A11" s="26" t="s">
        <v>15</v>
      </c>
      <c r="B11" s="27">
        <v>277000</v>
      </c>
      <c r="C11" s="28">
        <v>11591896</v>
      </c>
      <c r="D11" s="27">
        <v>474000</v>
      </c>
      <c r="E11" s="28">
        <v>14736236</v>
      </c>
      <c r="F11" s="27">
        <v>482000</v>
      </c>
      <c r="G11" s="28">
        <v>16115195</v>
      </c>
      <c r="H11" s="27">
        <v>248000</v>
      </c>
      <c r="I11" s="28">
        <v>10288599</v>
      </c>
      <c r="J11" s="27">
        <v>248000</v>
      </c>
      <c r="K11" s="28">
        <v>10240788</v>
      </c>
      <c r="L11" s="27">
        <v>1729000</v>
      </c>
      <c r="M11" s="28">
        <v>62972714</v>
      </c>
    </row>
    <row r="12" spans="1:13" x14ac:dyDescent="0.2">
      <c r="A12" s="26" t="s">
        <v>16</v>
      </c>
      <c r="B12" s="27">
        <v>402000</v>
      </c>
      <c r="C12" s="28">
        <v>14872814</v>
      </c>
      <c r="D12" s="27">
        <v>490000</v>
      </c>
      <c r="E12" s="28">
        <v>17860046</v>
      </c>
      <c r="F12" s="27">
        <v>384000</v>
      </c>
      <c r="G12" s="28">
        <v>14221163</v>
      </c>
      <c r="H12" s="27">
        <v>383000</v>
      </c>
      <c r="I12" s="28">
        <v>14954651</v>
      </c>
      <c r="J12" s="27">
        <v>389000</v>
      </c>
      <c r="K12" s="28">
        <v>14771419</v>
      </c>
      <c r="L12" s="27">
        <v>2048000</v>
      </c>
      <c r="M12" s="28">
        <v>76680093</v>
      </c>
    </row>
    <row r="13" spans="1:13" x14ac:dyDescent="0.2">
      <c r="A13" s="26" t="s">
        <v>17</v>
      </c>
      <c r="B13" s="27">
        <v>480000</v>
      </c>
      <c r="C13" s="28">
        <v>13551407</v>
      </c>
      <c r="D13" s="27">
        <v>403000</v>
      </c>
      <c r="E13" s="28">
        <v>12503684</v>
      </c>
      <c r="F13" s="27">
        <v>234000</v>
      </c>
      <c r="G13" s="28">
        <v>11322046</v>
      </c>
      <c r="H13" s="27">
        <v>397000</v>
      </c>
      <c r="I13" s="28">
        <v>14019620</v>
      </c>
      <c r="J13" s="27">
        <v>476000</v>
      </c>
      <c r="K13" s="28">
        <v>16294948</v>
      </c>
      <c r="L13" s="27">
        <v>1990000</v>
      </c>
      <c r="M13" s="28">
        <v>67691705</v>
      </c>
    </row>
    <row r="14" spans="1:13" x14ac:dyDescent="0.2">
      <c r="A14" s="26" t="s">
        <v>18</v>
      </c>
      <c r="B14" s="27">
        <v>281000</v>
      </c>
      <c r="C14" s="28">
        <v>11043214</v>
      </c>
      <c r="D14" s="27">
        <v>295000</v>
      </c>
      <c r="E14" s="28">
        <v>10762843</v>
      </c>
      <c r="F14" s="27">
        <v>492000</v>
      </c>
      <c r="G14" s="28">
        <v>14186415</v>
      </c>
      <c r="H14" s="27">
        <v>398000</v>
      </c>
      <c r="I14" s="28">
        <v>12218544</v>
      </c>
      <c r="J14" s="27">
        <v>400000</v>
      </c>
      <c r="K14" s="28">
        <v>13275776</v>
      </c>
      <c r="L14" s="27">
        <v>1866000</v>
      </c>
      <c r="M14" s="28">
        <v>61486792</v>
      </c>
    </row>
    <row r="15" spans="1:13" x14ac:dyDescent="0.2">
      <c r="A15" s="26" t="s">
        <v>19</v>
      </c>
      <c r="B15" s="27">
        <v>422000</v>
      </c>
      <c r="C15" s="28">
        <v>11217282</v>
      </c>
      <c r="D15" s="27">
        <v>233000</v>
      </c>
      <c r="E15" s="28">
        <v>9371447</v>
      </c>
      <c r="F15" s="27">
        <v>483000</v>
      </c>
      <c r="G15" s="28">
        <v>12314005</v>
      </c>
      <c r="H15" s="27">
        <v>450000</v>
      </c>
      <c r="I15" s="28">
        <v>12961661</v>
      </c>
      <c r="J15" s="27">
        <v>421000</v>
      </c>
      <c r="K15" s="28">
        <v>12104090</v>
      </c>
      <c r="L15" s="27">
        <v>2009000</v>
      </c>
      <c r="M15" s="28">
        <v>57968485</v>
      </c>
    </row>
    <row r="16" spans="1:13" x14ac:dyDescent="0.2">
      <c r="A16" s="26" t="s">
        <v>20</v>
      </c>
      <c r="B16" s="27">
        <v>210000</v>
      </c>
      <c r="C16" s="28">
        <v>11327145</v>
      </c>
      <c r="D16" s="27">
        <v>295000</v>
      </c>
      <c r="E16" s="28">
        <v>14048575</v>
      </c>
      <c r="F16" s="27">
        <v>364000</v>
      </c>
      <c r="G16" s="28">
        <v>14132912</v>
      </c>
      <c r="H16" s="27">
        <v>232000</v>
      </c>
      <c r="I16" s="28">
        <v>11920662</v>
      </c>
      <c r="J16" s="27">
        <v>429000</v>
      </c>
      <c r="K16" s="28">
        <v>14966778</v>
      </c>
      <c r="L16" s="27">
        <v>1530000</v>
      </c>
      <c r="M16" s="28">
        <v>66396072</v>
      </c>
    </row>
    <row r="17" spans="1:13" x14ac:dyDescent="0.2">
      <c r="A17" s="26" t="s">
        <v>21</v>
      </c>
      <c r="B17" s="27">
        <v>252000</v>
      </c>
      <c r="C17" s="28">
        <v>12160104</v>
      </c>
      <c r="D17" s="27">
        <v>497000</v>
      </c>
      <c r="E17" s="28">
        <v>17461997</v>
      </c>
      <c r="F17" s="27">
        <v>370000</v>
      </c>
      <c r="G17" s="28">
        <v>16893855</v>
      </c>
      <c r="H17" s="27">
        <v>446000</v>
      </c>
      <c r="I17" s="28">
        <v>15893694</v>
      </c>
      <c r="J17" s="27">
        <v>435000</v>
      </c>
      <c r="K17" s="28">
        <v>17199710</v>
      </c>
      <c r="L17" s="27">
        <v>2000000</v>
      </c>
      <c r="M17" s="28">
        <v>79609360</v>
      </c>
    </row>
    <row r="18" spans="1:13" x14ac:dyDescent="0.2">
      <c r="A18" s="26" t="s">
        <v>22</v>
      </c>
      <c r="B18" s="27">
        <v>360000</v>
      </c>
      <c r="C18" s="28">
        <v>9847145</v>
      </c>
      <c r="D18" s="27">
        <v>435000</v>
      </c>
      <c r="E18" s="28">
        <v>9935797</v>
      </c>
      <c r="F18" s="27">
        <v>493000</v>
      </c>
      <c r="G18" s="28">
        <v>10262459</v>
      </c>
      <c r="H18" s="27">
        <v>466000</v>
      </c>
      <c r="I18" s="28">
        <v>11603452</v>
      </c>
      <c r="J18" s="27">
        <v>289000</v>
      </c>
      <c r="K18" s="28">
        <v>9212979</v>
      </c>
      <c r="L18" s="27">
        <v>2043000</v>
      </c>
      <c r="M18" s="28">
        <v>50861832</v>
      </c>
    </row>
    <row r="19" spans="1:13" x14ac:dyDescent="0.2">
      <c r="A19" s="26" t="s">
        <v>23</v>
      </c>
      <c r="B19" s="27">
        <v>302000</v>
      </c>
      <c r="C19" s="28">
        <v>10590331</v>
      </c>
      <c r="D19" s="27">
        <v>356000</v>
      </c>
      <c r="E19" s="28">
        <v>10406142</v>
      </c>
      <c r="F19" s="27">
        <v>273000</v>
      </c>
      <c r="G19" s="28">
        <v>10221606</v>
      </c>
      <c r="H19" s="27">
        <v>371000</v>
      </c>
      <c r="I19" s="28">
        <v>11446862</v>
      </c>
      <c r="J19" s="27">
        <v>250000</v>
      </c>
      <c r="K19" s="28">
        <v>9561322</v>
      </c>
      <c r="L19" s="27">
        <v>1552000</v>
      </c>
      <c r="M19" s="28">
        <v>52226263</v>
      </c>
    </row>
    <row r="20" spans="1:13" x14ac:dyDescent="0.2">
      <c r="A20" s="26" t="s">
        <v>24</v>
      </c>
      <c r="B20" s="27">
        <v>334000</v>
      </c>
      <c r="C20" s="28">
        <v>10221748</v>
      </c>
      <c r="D20" s="27">
        <v>354000</v>
      </c>
      <c r="E20" s="28">
        <v>10078180</v>
      </c>
      <c r="F20" s="27">
        <v>328000</v>
      </c>
      <c r="G20" s="28">
        <v>10409040</v>
      </c>
      <c r="H20" s="27">
        <v>416000</v>
      </c>
      <c r="I20" s="28">
        <v>11612390</v>
      </c>
      <c r="J20" s="27">
        <v>375000</v>
      </c>
      <c r="K20" s="28">
        <v>10078701</v>
      </c>
      <c r="L20" s="27">
        <v>1807000</v>
      </c>
      <c r="M20" s="28">
        <v>52400059</v>
      </c>
    </row>
    <row r="21" spans="1:13" x14ac:dyDescent="0.2">
      <c r="A21" s="26" t="s">
        <v>25</v>
      </c>
      <c r="B21" s="27">
        <v>203000</v>
      </c>
      <c r="C21" s="28">
        <v>8786532</v>
      </c>
      <c r="D21" s="27">
        <v>461000</v>
      </c>
      <c r="E21" s="28">
        <v>13759959</v>
      </c>
      <c r="F21" s="27">
        <v>436000</v>
      </c>
      <c r="G21" s="28">
        <v>13641108</v>
      </c>
      <c r="H21" s="27">
        <v>462000</v>
      </c>
      <c r="I21" s="28">
        <v>13298032</v>
      </c>
      <c r="J21" s="27">
        <v>406000</v>
      </c>
      <c r="K21" s="28">
        <v>11672890</v>
      </c>
      <c r="L21" s="27">
        <v>1968000</v>
      </c>
      <c r="M21" s="28">
        <v>61158521</v>
      </c>
    </row>
    <row r="22" spans="1:13" x14ac:dyDescent="0.2">
      <c r="A22" s="26" t="s">
        <v>26</v>
      </c>
      <c r="B22" s="27">
        <v>347000</v>
      </c>
      <c r="C22" s="28">
        <v>10838701</v>
      </c>
      <c r="D22" s="27">
        <v>413000</v>
      </c>
      <c r="E22" s="28">
        <v>13868458</v>
      </c>
      <c r="F22" s="27">
        <v>462000</v>
      </c>
      <c r="G22" s="28">
        <v>13953688</v>
      </c>
      <c r="H22" s="27">
        <v>318000</v>
      </c>
      <c r="I22" s="28">
        <v>12602597</v>
      </c>
      <c r="J22" s="27">
        <v>352000</v>
      </c>
      <c r="K22" s="28">
        <v>11645185</v>
      </c>
      <c r="L22" s="27">
        <v>1892000</v>
      </c>
      <c r="M22" s="28">
        <v>62908629</v>
      </c>
    </row>
    <row r="23" spans="1:13" x14ac:dyDescent="0.2">
      <c r="A23" s="26" t="s">
        <v>27</v>
      </c>
      <c r="B23" s="27">
        <v>211000</v>
      </c>
      <c r="C23" s="28">
        <v>10179838</v>
      </c>
      <c r="D23" s="27">
        <v>370000</v>
      </c>
      <c r="E23" s="28">
        <v>13277908</v>
      </c>
      <c r="F23" s="27">
        <v>385000</v>
      </c>
      <c r="G23" s="28">
        <v>12414707</v>
      </c>
      <c r="H23" s="27">
        <v>489000</v>
      </c>
      <c r="I23" s="28">
        <v>13770172</v>
      </c>
      <c r="J23" s="27">
        <v>364000</v>
      </c>
      <c r="K23" s="28">
        <v>12720656</v>
      </c>
      <c r="L23" s="27">
        <v>1819000</v>
      </c>
      <c r="M23" s="28">
        <v>62363281</v>
      </c>
    </row>
    <row r="24" spans="1:13" x14ac:dyDescent="0.2">
      <c r="A24" s="26" t="s">
        <v>28</v>
      </c>
      <c r="B24" s="27">
        <v>251000</v>
      </c>
      <c r="C24" s="28">
        <v>13135579</v>
      </c>
      <c r="D24" s="27">
        <v>217000</v>
      </c>
      <c r="E24" s="28">
        <v>12139138</v>
      </c>
      <c r="F24" s="27">
        <v>462000</v>
      </c>
      <c r="G24" s="28">
        <v>16770862</v>
      </c>
      <c r="H24" s="27">
        <v>299000</v>
      </c>
      <c r="I24" s="28">
        <v>14430808</v>
      </c>
      <c r="J24" s="27">
        <v>364000</v>
      </c>
      <c r="K24" s="28">
        <v>14492256</v>
      </c>
      <c r="L24" s="27">
        <v>1593000</v>
      </c>
      <c r="M24" s="28">
        <v>70968643</v>
      </c>
    </row>
    <row r="25" spans="1:13" x14ac:dyDescent="0.2">
      <c r="A25" s="26" t="s">
        <v>29</v>
      </c>
      <c r="B25" s="27">
        <v>463000</v>
      </c>
      <c r="C25" s="28">
        <v>15050972</v>
      </c>
      <c r="D25" s="27">
        <v>463000</v>
      </c>
      <c r="E25" s="28">
        <v>14248212</v>
      </c>
      <c r="F25" s="27">
        <v>298000</v>
      </c>
      <c r="G25" s="28">
        <v>11526950</v>
      </c>
      <c r="H25" s="27">
        <v>211000</v>
      </c>
      <c r="I25" s="28">
        <v>11390192</v>
      </c>
      <c r="J25" s="27">
        <v>244000</v>
      </c>
      <c r="K25" s="28">
        <v>11731311</v>
      </c>
      <c r="L25" s="27">
        <v>1679000</v>
      </c>
      <c r="M25" s="28">
        <v>63947637</v>
      </c>
    </row>
    <row r="26" spans="1:13" x14ac:dyDescent="0.2">
      <c r="A26" s="26" t="s">
        <v>30</v>
      </c>
      <c r="B26" s="27">
        <v>289000</v>
      </c>
      <c r="C26" s="28">
        <v>10971265</v>
      </c>
      <c r="D26" s="27">
        <v>268000</v>
      </c>
      <c r="E26" s="28">
        <v>9718553</v>
      </c>
      <c r="F26" s="27">
        <v>264000</v>
      </c>
      <c r="G26" s="28">
        <v>10833138</v>
      </c>
      <c r="H26" s="27">
        <v>356000</v>
      </c>
      <c r="I26" s="28">
        <v>12786812</v>
      </c>
      <c r="J26" s="27">
        <v>255000</v>
      </c>
      <c r="K26" s="28">
        <v>11470851</v>
      </c>
      <c r="L26" s="27">
        <v>1432000</v>
      </c>
      <c r="M26" s="28">
        <v>55780619</v>
      </c>
    </row>
    <row r="27" spans="1:13" x14ac:dyDescent="0.2">
      <c r="A27" s="26" t="s">
        <v>31</v>
      </c>
      <c r="B27" s="27">
        <v>389000</v>
      </c>
      <c r="C27" s="28">
        <v>11429115</v>
      </c>
      <c r="D27" s="27">
        <v>327000</v>
      </c>
      <c r="E27" s="28">
        <v>10681023</v>
      </c>
      <c r="F27" s="27">
        <v>250000</v>
      </c>
      <c r="G27" s="28">
        <v>10060509</v>
      </c>
      <c r="H27" s="27">
        <v>413000</v>
      </c>
      <c r="I27" s="28">
        <v>11915906</v>
      </c>
      <c r="J27" s="27">
        <v>290000</v>
      </c>
      <c r="K27" s="28">
        <v>11072414</v>
      </c>
      <c r="L27" s="27">
        <v>1669000</v>
      </c>
      <c r="M27" s="28">
        <v>55158967</v>
      </c>
    </row>
    <row r="28" spans="1:13" x14ac:dyDescent="0.2">
      <c r="A28" s="26" t="s">
        <v>32</v>
      </c>
      <c r="B28" s="27">
        <v>279000</v>
      </c>
      <c r="C28" s="28">
        <v>12298177</v>
      </c>
      <c r="D28" s="27">
        <v>372000</v>
      </c>
      <c r="E28" s="28">
        <v>13702626</v>
      </c>
      <c r="F28" s="27">
        <v>471000</v>
      </c>
      <c r="G28" s="28">
        <v>16722082</v>
      </c>
      <c r="H28" s="27">
        <v>468000</v>
      </c>
      <c r="I28" s="28">
        <v>15590059</v>
      </c>
      <c r="J28" s="27">
        <v>356000</v>
      </c>
      <c r="K28" s="28">
        <v>15100072</v>
      </c>
      <c r="L28" s="27">
        <v>1946000</v>
      </c>
      <c r="M28" s="28">
        <v>73413016</v>
      </c>
    </row>
    <row r="29" spans="1:13" x14ac:dyDescent="0.2">
      <c r="A29" s="26" t="s">
        <v>33</v>
      </c>
      <c r="B29" s="27">
        <v>470000</v>
      </c>
      <c r="C29" s="28">
        <v>18866700</v>
      </c>
      <c r="D29" s="27">
        <v>213000</v>
      </c>
      <c r="E29" s="28">
        <v>11935152</v>
      </c>
      <c r="F29" s="27">
        <v>392000</v>
      </c>
      <c r="G29" s="28">
        <v>15101566</v>
      </c>
      <c r="H29" s="27">
        <v>342000</v>
      </c>
      <c r="I29" s="28">
        <v>14577875</v>
      </c>
      <c r="J29" s="27">
        <v>400000</v>
      </c>
      <c r="K29" s="28">
        <v>15367017</v>
      </c>
      <c r="L29" s="27">
        <v>1817000</v>
      </c>
      <c r="M29" s="28">
        <v>75848310</v>
      </c>
    </row>
    <row r="30" spans="1:13" x14ac:dyDescent="0.2">
      <c r="A30" s="26" t="s">
        <v>34</v>
      </c>
      <c r="B30" s="27">
        <v>362000</v>
      </c>
      <c r="C30" s="28">
        <v>10726982</v>
      </c>
      <c r="D30" s="27">
        <v>282000</v>
      </c>
      <c r="E30" s="28">
        <v>9764192</v>
      </c>
      <c r="F30" s="27">
        <v>387000</v>
      </c>
      <c r="G30" s="28">
        <v>9646859</v>
      </c>
      <c r="H30" s="27">
        <v>386000</v>
      </c>
      <c r="I30" s="28">
        <v>9446086</v>
      </c>
      <c r="J30" s="27">
        <v>218000</v>
      </c>
      <c r="K30" s="28">
        <v>8091780</v>
      </c>
      <c r="L30" s="27">
        <v>1635000</v>
      </c>
      <c r="M30" s="28">
        <v>47675899</v>
      </c>
    </row>
    <row r="31" spans="1:13" x14ac:dyDescent="0.2">
      <c r="A31" s="26" t="s">
        <v>35</v>
      </c>
      <c r="B31" s="27">
        <v>377000</v>
      </c>
      <c r="C31" s="28">
        <v>9770156</v>
      </c>
      <c r="D31" s="27">
        <v>395000</v>
      </c>
      <c r="E31" s="28">
        <v>10111050</v>
      </c>
      <c r="F31" s="27">
        <v>221000</v>
      </c>
      <c r="G31" s="28">
        <v>8724897</v>
      </c>
      <c r="H31" s="27">
        <v>374000</v>
      </c>
      <c r="I31" s="28">
        <v>10596715</v>
      </c>
      <c r="J31" s="27">
        <v>283000</v>
      </c>
      <c r="K31" s="28">
        <v>10246543</v>
      </c>
      <c r="L31" s="27">
        <v>1650000</v>
      </c>
      <c r="M31" s="28">
        <v>49449361</v>
      </c>
    </row>
    <row r="32" spans="1:13" x14ac:dyDescent="0.2">
      <c r="A32" s="26" t="s">
        <v>36</v>
      </c>
      <c r="B32" s="27">
        <v>234000</v>
      </c>
      <c r="C32" s="28">
        <v>8693235</v>
      </c>
      <c r="D32" s="27">
        <v>393000</v>
      </c>
      <c r="E32" s="28">
        <v>11869802</v>
      </c>
      <c r="F32" s="27">
        <v>288000</v>
      </c>
      <c r="G32" s="28">
        <v>10221640</v>
      </c>
      <c r="H32" s="27">
        <v>297000</v>
      </c>
      <c r="I32" s="28">
        <v>10642313</v>
      </c>
      <c r="J32" s="27">
        <v>236000</v>
      </c>
      <c r="K32" s="28">
        <v>9629005</v>
      </c>
      <c r="L32" s="27">
        <v>1448000</v>
      </c>
      <c r="M32" s="28">
        <v>51055995</v>
      </c>
    </row>
    <row r="33" spans="1:13" x14ac:dyDescent="0.2">
      <c r="A33" s="26" t="s">
        <v>37</v>
      </c>
      <c r="B33" s="27">
        <v>451000</v>
      </c>
      <c r="C33" s="28">
        <v>13011268</v>
      </c>
      <c r="D33" s="27">
        <v>303000</v>
      </c>
      <c r="E33" s="28">
        <v>10200119</v>
      </c>
      <c r="F33" s="27">
        <v>441000</v>
      </c>
      <c r="G33" s="28">
        <v>13622284</v>
      </c>
      <c r="H33" s="27">
        <v>491000</v>
      </c>
      <c r="I33" s="28">
        <v>11829206</v>
      </c>
      <c r="J33" s="27">
        <v>328000</v>
      </c>
      <c r="K33" s="28">
        <v>10026627</v>
      </c>
      <c r="L33" s="27">
        <v>2014000</v>
      </c>
      <c r="M33" s="28">
        <v>58689504</v>
      </c>
    </row>
    <row r="34" spans="1:13" x14ac:dyDescent="0.2">
      <c r="A34" s="26" t="s">
        <v>38</v>
      </c>
      <c r="B34" s="27">
        <v>317000</v>
      </c>
      <c r="C34" s="28">
        <v>11352418</v>
      </c>
      <c r="D34" s="27">
        <v>463000</v>
      </c>
      <c r="E34" s="28">
        <v>13616512</v>
      </c>
      <c r="F34" s="27">
        <v>372000</v>
      </c>
      <c r="G34" s="28">
        <v>11515771</v>
      </c>
      <c r="H34" s="27">
        <v>420000</v>
      </c>
      <c r="I34" s="28">
        <v>13811017</v>
      </c>
      <c r="J34" s="27">
        <v>213000</v>
      </c>
      <c r="K34" s="28">
        <v>9860504</v>
      </c>
      <c r="L34" s="27">
        <v>1785000</v>
      </c>
      <c r="M34" s="28">
        <v>60156222</v>
      </c>
    </row>
    <row r="35" spans="1:13" x14ac:dyDescent="0.2">
      <c r="A35" s="26" t="s">
        <v>39</v>
      </c>
      <c r="B35" s="27">
        <v>394000</v>
      </c>
      <c r="C35" s="28">
        <v>13413843</v>
      </c>
      <c r="D35" s="27">
        <v>450000</v>
      </c>
      <c r="E35" s="28">
        <v>15620596</v>
      </c>
      <c r="F35" s="27">
        <v>476000</v>
      </c>
      <c r="G35" s="28">
        <v>15333286</v>
      </c>
      <c r="H35" s="27">
        <v>250000</v>
      </c>
      <c r="I35" s="28">
        <v>11870417</v>
      </c>
      <c r="J35" s="27">
        <v>300000</v>
      </c>
      <c r="K35" s="28">
        <v>11704563</v>
      </c>
      <c r="L35" s="27">
        <v>1870000</v>
      </c>
      <c r="M35" s="28">
        <v>67942705</v>
      </c>
    </row>
    <row r="36" spans="1:13" x14ac:dyDescent="0.2">
      <c r="A36" s="26" t="s">
        <v>40</v>
      </c>
      <c r="B36" s="27">
        <v>406000</v>
      </c>
      <c r="C36" s="28">
        <v>16134697</v>
      </c>
      <c r="D36" s="27">
        <v>290000</v>
      </c>
      <c r="E36" s="28">
        <v>14018716</v>
      </c>
      <c r="F36" s="27">
        <v>404000</v>
      </c>
      <c r="G36" s="28">
        <v>16219687</v>
      </c>
      <c r="H36" s="27">
        <v>328000</v>
      </c>
      <c r="I36" s="28">
        <v>13059668</v>
      </c>
      <c r="J36" s="27">
        <v>496000</v>
      </c>
      <c r="K36" s="28">
        <v>17629105</v>
      </c>
      <c r="L36" s="27">
        <v>1924000</v>
      </c>
      <c r="M36" s="28">
        <v>77061873</v>
      </c>
    </row>
    <row r="37" spans="1:13" x14ac:dyDescent="0.2">
      <c r="A37" s="26" t="s">
        <v>41</v>
      </c>
      <c r="B37" s="27">
        <v>204000</v>
      </c>
      <c r="C37" s="28">
        <v>10468129</v>
      </c>
      <c r="D37" s="27">
        <v>210000</v>
      </c>
      <c r="E37" s="28">
        <v>11598021</v>
      </c>
      <c r="F37" s="27">
        <v>391000</v>
      </c>
      <c r="G37" s="28">
        <v>14765223</v>
      </c>
      <c r="H37" s="27">
        <v>290000</v>
      </c>
      <c r="I37" s="28">
        <v>12679916</v>
      </c>
      <c r="J37" s="27">
        <v>226000</v>
      </c>
      <c r="K37" s="28">
        <v>9980041</v>
      </c>
      <c r="L37" s="27">
        <v>1321000</v>
      </c>
      <c r="M37" s="28">
        <v>59491330</v>
      </c>
    </row>
    <row r="38" spans="1:13" x14ac:dyDescent="0.2">
      <c r="A38" s="26" t="s">
        <v>42</v>
      </c>
      <c r="B38" s="27">
        <v>223000</v>
      </c>
      <c r="C38" s="28">
        <v>9983010</v>
      </c>
      <c r="D38" s="27">
        <v>307000</v>
      </c>
      <c r="E38" s="28">
        <v>11313092</v>
      </c>
      <c r="F38" s="27">
        <v>386000</v>
      </c>
      <c r="G38" s="28">
        <v>12348882</v>
      </c>
      <c r="H38" s="27">
        <v>499000</v>
      </c>
      <c r="I38" s="28">
        <v>14933693</v>
      </c>
      <c r="J38" s="27">
        <v>355000</v>
      </c>
      <c r="K38" s="28">
        <v>13183269</v>
      </c>
      <c r="L38" s="27">
        <v>1770000</v>
      </c>
      <c r="M38" s="28">
        <v>61761946</v>
      </c>
    </row>
    <row r="39" spans="1:13" x14ac:dyDescent="0.2">
      <c r="A39" s="26" t="s">
        <v>43</v>
      </c>
      <c r="B39" s="27">
        <v>268000</v>
      </c>
      <c r="C39" s="28">
        <v>9491006</v>
      </c>
      <c r="D39" s="27">
        <v>497000</v>
      </c>
      <c r="E39" s="28">
        <v>11887376</v>
      </c>
      <c r="F39" s="27">
        <v>295000</v>
      </c>
      <c r="G39" s="28">
        <v>10565217</v>
      </c>
      <c r="H39" s="27">
        <v>428000</v>
      </c>
      <c r="I39" s="28">
        <v>12681661</v>
      </c>
      <c r="J39" s="27">
        <v>495000</v>
      </c>
      <c r="K39" s="28">
        <v>11663467</v>
      </c>
      <c r="L39" s="27">
        <v>1983000</v>
      </c>
      <c r="M39" s="28">
        <v>56288727</v>
      </c>
    </row>
    <row r="40" spans="1:13" x14ac:dyDescent="0.2">
      <c r="A40" s="26" t="s">
        <v>44</v>
      </c>
      <c r="B40" s="27">
        <v>235000</v>
      </c>
      <c r="C40" s="28">
        <v>12299452</v>
      </c>
      <c r="D40" s="27">
        <v>457000</v>
      </c>
      <c r="E40" s="28">
        <v>14659155</v>
      </c>
      <c r="F40" s="27">
        <v>306000</v>
      </c>
      <c r="G40" s="28">
        <v>12503153</v>
      </c>
      <c r="H40" s="27">
        <v>415000</v>
      </c>
      <c r="I40" s="28">
        <v>16291962</v>
      </c>
      <c r="J40" s="27">
        <v>342000</v>
      </c>
      <c r="K40" s="28">
        <v>13084057</v>
      </c>
      <c r="L40" s="27">
        <v>1755000</v>
      </c>
      <c r="M40" s="28">
        <v>68837779</v>
      </c>
    </row>
    <row r="41" spans="1:13" x14ac:dyDescent="0.2">
      <c r="A41" s="26" t="s">
        <v>45</v>
      </c>
      <c r="B41" s="27">
        <v>302000</v>
      </c>
      <c r="C41" s="28">
        <v>13156272</v>
      </c>
      <c r="D41" s="27">
        <v>226000</v>
      </c>
      <c r="E41" s="28">
        <v>13515252</v>
      </c>
      <c r="F41" s="27">
        <v>421000</v>
      </c>
      <c r="G41" s="28">
        <v>16628992</v>
      </c>
      <c r="H41" s="27">
        <v>331000</v>
      </c>
      <c r="I41" s="28">
        <v>14035171</v>
      </c>
      <c r="J41" s="27">
        <v>276000</v>
      </c>
      <c r="K41" s="28">
        <v>13785379</v>
      </c>
      <c r="L41" s="27">
        <v>1556000</v>
      </c>
      <c r="M41" s="28">
        <v>71121066</v>
      </c>
    </row>
    <row r="42" spans="1:13" x14ac:dyDescent="0.2">
      <c r="A42" s="26" t="s">
        <v>114</v>
      </c>
      <c r="B42" s="27">
        <v>12080000</v>
      </c>
      <c r="C42" s="28">
        <v>423677773</v>
      </c>
      <c r="D42" s="27">
        <v>13193000</v>
      </c>
      <c r="E42" s="28">
        <v>444360705</v>
      </c>
      <c r="F42" s="27">
        <v>13571000</v>
      </c>
      <c r="G42" s="28">
        <v>459557993</v>
      </c>
      <c r="H42" s="27">
        <v>13305000</v>
      </c>
      <c r="I42" s="28">
        <v>451942073</v>
      </c>
      <c r="J42" s="27">
        <v>12275000</v>
      </c>
      <c r="K42" s="28">
        <v>436209585</v>
      </c>
      <c r="L42" s="27">
        <v>64424000</v>
      </c>
      <c r="M42" s="28">
        <v>2215748129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FC65-6EBD-FE40-A7D6-94A46DF2A4BC}">
  <dimension ref="A1:R42"/>
  <sheetViews>
    <sheetView workbookViewId="0">
      <pane xSplit="1" topLeftCell="E1" activePane="topRight" state="frozen"/>
      <selection pane="topRight" activeCell="O26" sqref="O26:O37"/>
    </sheetView>
  </sheetViews>
  <sheetFormatPr baseColWidth="10" defaultRowHeight="15" x14ac:dyDescent="0.2"/>
  <cols>
    <col min="1" max="1" width="11.33203125" bestFit="1" customWidth="1"/>
    <col min="2" max="2" width="23" bestFit="1" customWidth="1"/>
    <col min="3" max="3" width="23" customWidth="1"/>
    <col min="4" max="4" width="15" customWidth="1"/>
    <col min="5" max="6" width="18.33203125" customWidth="1"/>
    <col min="7" max="7" width="17" customWidth="1"/>
    <col min="8" max="9" width="19.33203125" customWidth="1"/>
    <col min="10" max="10" width="22.1640625" customWidth="1"/>
    <col min="11" max="12" width="21.5" customWidth="1"/>
    <col min="13" max="13" width="17.5" customWidth="1"/>
    <col min="14" max="15" width="20.33203125" customWidth="1"/>
    <col min="16" max="16" width="13.1640625" customWidth="1"/>
    <col min="17" max="17" width="14.6640625" customWidth="1"/>
  </cols>
  <sheetData>
    <row r="1" spans="1:18" x14ac:dyDescent="0.2">
      <c r="A1" t="s">
        <v>0</v>
      </c>
      <c r="B1" t="s">
        <v>121</v>
      </c>
      <c r="C1" t="s">
        <v>131</v>
      </c>
      <c r="D1" t="s">
        <v>122</v>
      </c>
      <c r="E1" t="s">
        <v>123</v>
      </c>
      <c r="F1" t="s">
        <v>132</v>
      </c>
      <c r="G1" t="s">
        <v>124</v>
      </c>
      <c r="H1" t="s">
        <v>125</v>
      </c>
      <c r="I1" t="s">
        <v>133</v>
      </c>
      <c r="J1" t="s">
        <v>126</v>
      </c>
      <c r="K1" t="s">
        <v>127</v>
      </c>
      <c r="L1" t="s">
        <v>134</v>
      </c>
      <c r="M1" t="s">
        <v>128</v>
      </c>
      <c r="N1" t="s">
        <v>129</v>
      </c>
      <c r="O1" t="s">
        <v>135</v>
      </c>
      <c r="P1" t="s">
        <v>130</v>
      </c>
      <c r="Q1" t="s">
        <v>51</v>
      </c>
      <c r="R1" t="s">
        <v>120</v>
      </c>
    </row>
    <row r="2" spans="1:18" s="32" customFormat="1" x14ac:dyDescent="0.2">
      <c r="A2" s="32" t="s">
        <v>5</v>
      </c>
      <c r="B2" s="32">
        <v>476000</v>
      </c>
      <c r="C2" s="32">
        <f t="shared" ref="C2:C38" si="0">B2/Q2</f>
        <v>0.26711560044893379</v>
      </c>
      <c r="D2" s="32">
        <v>10203030</v>
      </c>
      <c r="E2" s="32">
        <v>330000</v>
      </c>
      <c r="F2" s="32">
        <f>E2/Q2</f>
        <v>0.18518518518518517</v>
      </c>
      <c r="G2" s="32">
        <v>9736612</v>
      </c>
      <c r="H2" s="32">
        <v>307000</v>
      </c>
      <c r="I2" s="32">
        <f>H2/Q2</f>
        <v>0.1722783389450056</v>
      </c>
      <c r="J2" s="32">
        <v>8815331</v>
      </c>
      <c r="K2" s="32">
        <v>373000</v>
      </c>
      <c r="L2" s="32">
        <f>K2/Q2</f>
        <v>0.20931537598204264</v>
      </c>
      <c r="M2" s="32">
        <v>9681593</v>
      </c>
      <c r="N2" s="32">
        <v>296000</v>
      </c>
      <c r="O2" s="32">
        <f>N2/Q2</f>
        <v>0.16610549943883277</v>
      </c>
      <c r="P2" s="32">
        <v>9801435</v>
      </c>
      <c r="Q2" s="32">
        <v>1782000</v>
      </c>
      <c r="R2" s="32">
        <v>48238001</v>
      </c>
    </row>
    <row r="3" spans="1:18" s="32" customFormat="1" x14ac:dyDescent="0.2">
      <c r="A3" s="32" t="s">
        <v>11</v>
      </c>
      <c r="B3" s="32">
        <v>483000</v>
      </c>
      <c r="C3" s="32">
        <f t="shared" si="0"/>
        <v>0.23299565846599132</v>
      </c>
      <c r="D3" s="32">
        <v>11744765</v>
      </c>
      <c r="E3" s="32">
        <v>475000</v>
      </c>
      <c r="F3" s="32">
        <f t="shared" ref="F3:F37" si="1">E3/Q3</f>
        <v>0.22913651712493971</v>
      </c>
      <c r="G3" s="32">
        <v>11907769</v>
      </c>
      <c r="H3" s="32">
        <v>365000</v>
      </c>
      <c r="I3" s="32">
        <f t="shared" ref="I3:I37" si="2">H3/Q3</f>
        <v>0.17607332368547998</v>
      </c>
      <c r="J3" s="32">
        <v>10529568</v>
      </c>
      <c r="K3" s="32">
        <v>251000</v>
      </c>
      <c r="L3" s="32">
        <f t="shared" ref="L3:L37" si="3">K3/Q3</f>
        <v>0.12108055957549445</v>
      </c>
      <c r="M3" s="32">
        <v>9383686</v>
      </c>
      <c r="N3" s="32">
        <v>499000</v>
      </c>
      <c r="O3" s="32">
        <f t="shared" ref="O3:O37" si="4">N3/Q3</f>
        <v>0.24071394114809455</v>
      </c>
      <c r="P3" s="32">
        <v>12804773</v>
      </c>
      <c r="Q3" s="32">
        <v>2073000</v>
      </c>
      <c r="R3" s="32">
        <v>56370561</v>
      </c>
    </row>
    <row r="4" spans="1:18" s="32" customFormat="1" x14ac:dyDescent="0.2">
      <c r="A4" s="32" t="s">
        <v>12</v>
      </c>
      <c r="B4" s="32">
        <v>293000</v>
      </c>
      <c r="C4" s="32">
        <f t="shared" si="0"/>
        <v>0.16733295259851513</v>
      </c>
      <c r="D4" s="32">
        <v>9339281</v>
      </c>
      <c r="E4" s="32">
        <v>413000</v>
      </c>
      <c r="F4" s="32">
        <f t="shared" si="1"/>
        <v>0.23586521987435752</v>
      </c>
      <c r="G4" s="32">
        <v>10694756</v>
      </c>
      <c r="H4" s="32">
        <v>464000</v>
      </c>
      <c r="I4" s="32">
        <f t="shared" si="2"/>
        <v>0.26499143346659054</v>
      </c>
      <c r="J4" s="32">
        <v>13387633</v>
      </c>
      <c r="K4" s="32">
        <v>251000</v>
      </c>
      <c r="L4" s="32">
        <f t="shared" si="3"/>
        <v>0.1433466590519703</v>
      </c>
      <c r="M4" s="32">
        <v>9330606</v>
      </c>
      <c r="N4" s="32">
        <v>330000</v>
      </c>
      <c r="O4" s="32">
        <f t="shared" si="4"/>
        <v>0.18846373500856653</v>
      </c>
      <c r="P4" s="32">
        <v>10729381</v>
      </c>
      <c r="Q4" s="32">
        <v>1751000</v>
      </c>
      <c r="R4" s="32">
        <v>53481657</v>
      </c>
    </row>
    <row r="5" spans="1:18" s="32" customFormat="1" x14ac:dyDescent="0.2">
      <c r="A5" s="32" t="s">
        <v>13</v>
      </c>
      <c r="B5" s="32">
        <v>347000</v>
      </c>
      <c r="C5" s="32">
        <f t="shared" si="0"/>
        <v>0.18889493739793142</v>
      </c>
      <c r="D5" s="32">
        <v>11410767</v>
      </c>
      <c r="E5" s="32">
        <v>266000</v>
      </c>
      <c r="F5" s="32">
        <f t="shared" si="1"/>
        <v>0.1448013064779532</v>
      </c>
      <c r="G5" s="32">
        <v>9804550</v>
      </c>
      <c r="H5" s="32">
        <v>344000</v>
      </c>
      <c r="I5" s="32">
        <f t="shared" si="2"/>
        <v>0.18726183995645074</v>
      </c>
      <c r="J5" s="32">
        <v>12385041</v>
      </c>
      <c r="K5" s="32">
        <v>486000</v>
      </c>
      <c r="L5" s="32">
        <f t="shared" si="3"/>
        <v>0.26456178551986936</v>
      </c>
      <c r="M5" s="32">
        <v>13031147</v>
      </c>
      <c r="N5" s="32">
        <v>394000</v>
      </c>
      <c r="O5" s="32">
        <f t="shared" si="4"/>
        <v>0.21448013064779531</v>
      </c>
      <c r="P5" s="32">
        <v>10862673</v>
      </c>
      <c r="Q5" s="32">
        <v>1837000</v>
      </c>
      <c r="R5" s="32">
        <v>57494178</v>
      </c>
    </row>
    <row r="6" spans="1:18" s="32" customFormat="1" x14ac:dyDescent="0.2">
      <c r="A6" s="32" t="s">
        <v>14</v>
      </c>
      <c r="B6" s="32">
        <v>486000</v>
      </c>
      <c r="C6" s="32">
        <f t="shared" si="0"/>
        <v>0.25837320574162681</v>
      </c>
      <c r="D6" s="32">
        <v>14499497</v>
      </c>
      <c r="E6" s="32">
        <v>500000</v>
      </c>
      <c r="F6" s="32">
        <f t="shared" si="1"/>
        <v>0.26581605528973951</v>
      </c>
      <c r="G6" s="32">
        <v>13547159</v>
      </c>
      <c r="H6" s="32">
        <v>380000</v>
      </c>
      <c r="I6" s="32">
        <f t="shared" si="2"/>
        <v>0.20202020202020202</v>
      </c>
      <c r="J6" s="32">
        <v>11241223</v>
      </c>
      <c r="K6" s="32">
        <v>270000</v>
      </c>
      <c r="L6" s="32">
        <f t="shared" si="3"/>
        <v>0.14354066985645933</v>
      </c>
      <c r="M6" s="32">
        <v>11354628</v>
      </c>
      <c r="N6" s="32">
        <v>245000</v>
      </c>
      <c r="O6" s="32">
        <f t="shared" si="4"/>
        <v>0.13024986709197237</v>
      </c>
      <c r="P6" s="32">
        <v>10147820</v>
      </c>
      <c r="Q6" s="32">
        <v>1881000</v>
      </c>
      <c r="R6" s="32">
        <v>60790327</v>
      </c>
    </row>
    <row r="7" spans="1:18" s="32" customFormat="1" x14ac:dyDescent="0.2">
      <c r="A7" s="32" t="s">
        <v>15</v>
      </c>
      <c r="B7" s="32">
        <v>277000</v>
      </c>
      <c r="C7" s="32">
        <f t="shared" si="0"/>
        <v>0.16020821283979178</v>
      </c>
      <c r="D7" s="32">
        <v>11591896</v>
      </c>
      <c r="E7" s="32">
        <v>474000</v>
      </c>
      <c r="F7" s="32">
        <f t="shared" si="1"/>
        <v>0.2741469057258531</v>
      </c>
      <c r="G7" s="32">
        <v>14736236</v>
      </c>
      <c r="H7" s="32">
        <v>482000</v>
      </c>
      <c r="I7" s="32">
        <f t="shared" si="2"/>
        <v>0.27877385772122615</v>
      </c>
      <c r="J7" s="32">
        <v>16115195</v>
      </c>
      <c r="K7" s="32">
        <v>248000</v>
      </c>
      <c r="L7" s="32">
        <f t="shared" si="3"/>
        <v>0.1434355118565645</v>
      </c>
      <c r="M7" s="32">
        <v>10288599</v>
      </c>
      <c r="N7" s="32">
        <v>248000</v>
      </c>
      <c r="O7" s="32">
        <f t="shared" si="4"/>
        <v>0.1434355118565645</v>
      </c>
      <c r="P7" s="32">
        <v>10240788</v>
      </c>
      <c r="Q7" s="32">
        <v>1729000</v>
      </c>
      <c r="R7" s="32">
        <v>62972714</v>
      </c>
    </row>
    <row r="8" spans="1:18" s="32" customFormat="1" x14ac:dyDescent="0.2">
      <c r="A8" s="32" t="s">
        <v>16</v>
      </c>
      <c r="B8" s="32">
        <v>402000</v>
      </c>
      <c r="C8" s="32">
        <f t="shared" si="0"/>
        <v>0.1962890625</v>
      </c>
      <c r="D8" s="32">
        <v>14872814</v>
      </c>
      <c r="E8" s="32">
        <v>490000</v>
      </c>
      <c r="F8" s="32">
        <f t="shared" si="1"/>
        <v>0.2392578125</v>
      </c>
      <c r="G8" s="32">
        <v>17860046</v>
      </c>
      <c r="H8" s="32">
        <v>384000</v>
      </c>
      <c r="I8" s="32">
        <f t="shared" si="2"/>
        <v>0.1875</v>
      </c>
      <c r="J8" s="32">
        <v>14221163</v>
      </c>
      <c r="K8" s="32">
        <v>383000</v>
      </c>
      <c r="L8" s="32">
        <f t="shared" si="3"/>
        <v>0.18701171875</v>
      </c>
      <c r="M8" s="32">
        <v>14954651</v>
      </c>
      <c r="N8" s="32">
        <v>389000</v>
      </c>
      <c r="O8" s="32">
        <f t="shared" si="4"/>
        <v>0.18994140625</v>
      </c>
      <c r="P8" s="32">
        <v>14771419</v>
      </c>
      <c r="Q8" s="32">
        <v>2048000</v>
      </c>
      <c r="R8" s="32">
        <v>76680093</v>
      </c>
    </row>
    <row r="9" spans="1:18" s="32" customFormat="1" x14ac:dyDescent="0.2">
      <c r="A9" s="32" t="s">
        <v>17</v>
      </c>
      <c r="B9" s="32">
        <v>480000</v>
      </c>
      <c r="C9" s="32">
        <f t="shared" si="0"/>
        <v>0.24120603015075376</v>
      </c>
      <c r="D9" s="32">
        <v>13551407</v>
      </c>
      <c r="E9" s="32">
        <v>403000</v>
      </c>
      <c r="F9" s="32">
        <f t="shared" si="1"/>
        <v>0.20251256281407035</v>
      </c>
      <c r="G9" s="32">
        <v>12503684</v>
      </c>
      <c r="H9" s="32">
        <v>234000</v>
      </c>
      <c r="I9" s="32">
        <f t="shared" si="2"/>
        <v>0.11758793969849246</v>
      </c>
      <c r="J9" s="32">
        <v>11322046</v>
      </c>
      <c r="K9" s="32">
        <v>397000</v>
      </c>
      <c r="L9" s="32">
        <f t="shared" si="3"/>
        <v>0.19949748743718593</v>
      </c>
      <c r="M9" s="32">
        <v>14019620</v>
      </c>
      <c r="N9" s="32">
        <v>476000</v>
      </c>
      <c r="O9" s="32">
        <f t="shared" si="4"/>
        <v>0.23919597989949748</v>
      </c>
      <c r="P9" s="32">
        <v>16294948</v>
      </c>
      <c r="Q9" s="32">
        <v>1990000</v>
      </c>
      <c r="R9" s="32">
        <v>67691705</v>
      </c>
    </row>
    <row r="10" spans="1:18" s="32" customFormat="1" x14ac:dyDescent="0.2">
      <c r="A10" s="32" t="s">
        <v>18</v>
      </c>
      <c r="B10" s="32">
        <v>281000</v>
      </c>
      <c r="C10" s="32">
        <f t="shared" si="0"/>
        <v>0.15058949624866025</v>
      </c>
      <c r="D10" s="32">
        <v>11043214</v>
      </c>
      <c r="E10" s="32">
        <v>295000</v>
      </c>
      <c r="F10" s="32">
        <f t="shared" si="1"/>
        <v>0.15809217577706325</v>
      </c>
      <c r="G10" s="32">
        <v>10762843</v>
      </c>
      <c r="H10" s="32">
        <v>492000</v>
      </c>
      <c r="I10" s="32">
        <f t="shared" si="2"/>
        <v>0.26366559485530544</v>
      </c>
      <c r="J10" s="32">
        <v>14186415</v>
      </c>
      <c r="K10" s="32">
        <v>398000</v>
      </c>
      <c r="L10" s="32">
        <f t="shared" si="3"/>
        <v>0.21329046087888531</v>
      </c>
      <c r="M10" s="32">
        <v>12218544</v>
      </c>
      <c r="N10" s="32">
        <v>400000</v>
      </c>
      <c r="O10" s="32">
        <f t="shared" si="4"/>
        <v>0.21436227224008575</v>
      </c>
      <c r="P10" s="32">
        <v>13275776</v>
      </c>
      <c r="Q10" s="32">
        <v>1866000</v>
      </c>
      <c r="R10" s="32">
        <v>61486792</v>
      </c>
    </row>
    <row r="11" spans="1:18" s="32" customFormat="1" x14ac:dyDescent="0.2">
      <c r="A11" s="32" t="s">
        <v>19</v>
      </c>
      <c r="B11" s="32">
        <v>422000</v>
      </c>
      <c r="C11" s="32">
        <f t="shared" si="0"/>
        <v>0.21005475360876058</v>
      </c>
      <c r="D11" s="32">
        <v>11217282</v>
      </c>
      <c r="E11" s="32">
        <v>233000</v>
      </c>
      <c r="F11" s="32">
        <f t="shared" si="1"/>
        <v>0.11597809855649577</v>
      </c>
      <c r="G11" s="32">
        <v>9371447</v>
      </c>
      <c r="H11" s="32">
        <v>483000</v>
      </c>
      <c r="I11" s="32">
        <f t="shared" si="2"/>
        <v>0.24041811846689895</v>
      </c>
      <c r="J11" s="32">
        <v>12314005</v>
      </c>
      <c r="K11" s="32">
        <v>450000</v>
      </c>
      <c r="L11" s="32">
        <f t="shared" si="3"/>
        <v>0.22399203583872573</v>
      </c>
      <c r="M11" s="32">
        <v>12961661</v>
      </c>
      <c r="N11" s="32">
        <v>421000</v>
      </c>
      <c r="O11" s="32">
        <f t="shared" si="4"/>
        <v>0.20955699352911897</v>
      </c>
      <c r="P11" s="32">
        <v>12104090</v>
      </c>
      <c r="Q11" s="32">
        <v>2009000</v>
      </c>
      <c r="R11" s="32">
        <v>57968485</v>
      </c>
    </row>
    <row r="12" spans="1:18" s="32" customFormat="1" x14ac:dyDescent="0.2">
      <c r="A12" s="32" t="s">
        <v>20</v>
      </c>
      <c r="B12" s="32">
        <v>210000</v>
      </c>
      <c r="C12" s="32">
        <f t="shared" si="0"/>
        <v>0.13725490196078433</v>
      </c>
      <c r="D12" s="32">
        <v>11327145</v>
      </c>
      <c r="E12" s="32">
        <v>295000</v>
      </c>
      <c r="F12" s="32">
        <f t="shared" si="1"/>
        <v>0.19281045751633988</v>
      </c>
      <c r="G12" s="32">
        <v>14048575</v>
      </c>
      <c r="H12" s="32">
        <v>364000</v>
      </c>
      <c r="I12" s="32">
        <f t="shared" si="2"/>
        <v>0.23790849673202613</v>
      </c>
      <c r="J12" s="32">
        <v>14132912</v>
      </c>
      <c r="K12" s="32">
        <v>232000</v>
      </c>
      <c r="L12" s="32">
        <f t="shared" si="3"/>
        <v>0.15163398692810456</v>
      </c>
      <c r="M12" s="32">
        <v>11920662</v>
      </c>
      <c r="N12" s="32">
        <v>429000</v>
      </c>
      <c r="O12" s="32">
        <f t="shared" si="4"/>
        <v>0.2803921568627451</v>
      </c>
      <c r="P12" s="32">
        <v>14966778</v>
      </c>
      <c r="Q12" s="32">
        <v>1530000</v>
      </c>
      <c r="R12" s="32">
        <v>66396072</v>
      </c>
    </row>
    <row r="13" spans="1:18" s="32" customFormat="1" x14ac:dyDescent="0.2">
      <c r="A13" s="32" t="s">
        <v>21</v>
      </c>
      <c r="B13" s="32">
        <v>252000</v>
      </c>
      <c r="C13" s="32">
        <f t="shared" si="0"/>
        <v>0.126</v>
      </c>
      <c r="D13" s="32">
        <v>12160104</v>
      </c>
      <c r="E13" s="32">
        <v>497000</v>
      </c>
      <c r="F13" s="32">
        <f t="shared" si="1"/>
        <v>0.2485</v>
      </c>
      <c r="G13" s="32">
        <v>17461997</v>
      </c>
      <c r="H13" s="32">
        <v>370000</v>
      </c>
      <c r="I13" s="32">
        <f t="shared" si="2"/>
        <v>0.185</v>
      </c>
      <c r="J13" s="32">
        <v>16893855</v>
      </c>
      <c r="K13" s="32">
        <v>446000</v>
      </c>
      <c r="L13" s="32">
        <f t="shared" si="3"/>
        <v>0.223</v>
      </c>
      <c r="M13" s="32">
        <v>15893694</v>
      </c>
      <c r="N13" s="32">
        <v>435000</v>
      </c>
      <c r="O13" s="32">
        <f t="shared" si="4"/>
        <v>0.2175</v>
      </c>
      <c r="P13" s="32">
        <v>17199710</v>
      </c>
      <c r="Q13" s="32">
        <v>2000000</v>
      </c>
      <c r="R13" s="32">
        <v>79609360</v>
      </c>
    </row>
    <row r="14" spans="1:18" s="31" customFormat="1" x14ac:dyDescent="0.2">
      <c r="A14" s="31" t="s">
        <v>22</v>
      </c>
      <c r="B14" s="31">
        <v>360000</v>
      </c>
      <c r="C14" s="31">
        <f t="shared" si="0"/>
        <v>0.1762114537444934</v>
      </c>
      <c r="D14" s="31">
        <v>9847145</v>
      </c>
      <c r="E14" s="31">
        <v>435000</v>
      </c>
      <c r="F14" s="32">
        <f t="shared" si="1"/>
        <v>0.21292217327459617</v>
      </c>
      <c r="G14" s="31">
        <v>9935797</v>
      </c>
      <c r="H14" s="31">
        <v>493000</v>
      </c>
      <c r="I14" s="32">
        <f t="shared" si="2"/>
        <v>0.24131179637787567</v>
      </c>
      <c r="J14" s="31">
        <v>10262459</v>
      </c>
      <c r="K14" s="31">
        <v>466000</v>
      </c>
      <c r="L14" s="31">
        <f t="shared" si="3"/>
        <v>0.22809593734703867</v>
      </c>
      <c r="M14" s="31">
        <v>11603452</v>
      </c>
      <c r="N14" s="31">
        <v>289000</v>
      </c>
      <c r="O14" s="31">
        <f t="shared" si="4"/>
        <v>0.14145863925599608</v>
      </c>
      <c r="P14" s="31">
        <v>9212979</v>
      </c>
      <c r="Q14" s="31">
        <v>2043000</v>
      </c>
      <c r="R14" s="31">
        <v>50861832</v>
      </c>
    </row>
    <row r="15" spans="1:18" s="31" customFormat="1" x14ac:dyDescent="0.2">
      <c r="A15" s="31" t="s">
        <v>23</v>
      </c>
      <c r="B15" s="31">
        <v>302000</v>
      </c>
      <c r="C15" s="31">
        <f t="shared" si="0"/>
        <v>0.19458762886597938</v>
      </c>
      <c r="D15" s="31">
        <v>10590331</v>
      </c>
      <c r="E15" s="31">
        <v>356000</v>
      </c>
      <c r="F15" s="32">
        <f t="shared" si="1"/>
        <v>0.22938144329896906</v>
      </c>
      <c r="G15" s="31">
        <v>10406142</v>
      </c>
      <c r="H15" s="31">
        <v>273000</v>
      </c>
      <c r="I15" s="32">
        <f t="shared" si="2"/>
        <v>0.17590206185567012</v>
      </c>
      <c r="J15" s="31">
        <v>10221606</v>
      </c>
      <c r="K15" s="31">
        <v>371000</v>
      </c>
      <c r="L15" s="31">
        <f t="shared" si="3"/>
        <v>0.23904639175257733</v>
      </c>
      <c r="M15" s="31">
        <v>11446862</v>
      </c>
      <c r="N15" s="31">
        <v>250000</v>
      </c>
      <c r="O15" s="31">
        <f t="shared" si="4"/>
        <v>0.16108247422680413</v>
      </c>
      <c r="P15" s="31">
        <v>9561322</v>
      </c>
      <c r="Q15" s="31">
        <v>1552000</v>
      </c>
      <c r="R15" s="31">
        <v>52226263</v>
      </c>
    </row>
    <row r="16" spans="1:18" s="31" customFormat="1" x14ac:dyDescent="0.2">
      <c r="A16" s="31" t="s">
        <v>24</v>
      </c>
      <c r="B16" s="31">
        <v>334000</v>
      </c>
      <c r="C16" s="31">
        <f t="shared" si="0"/>
        <v>0.18483674598782512</v>
      </c>
      <c r="D16" s="31">
        <v>10221748</v>
      </c>
      <c r="E16" s="31">
        <v>354000</v>
      </c>
      <c r="F16" s="32">
        <f t="shared" si="1"/>
        <v>0.19590481460985057</v>
      </c>
      <c r="G16" s="31">
        <v>10078180</v>
      </c>
      <c r="H16" s="31">
        <v>328000</v>
      </c>
      <c r="I16" s="32">
        <f t="shared" si="2"/>
        <v>0.18151632540121748</v>
      </c>
      <c r="J16" s="31">
        <v>10409040</v>
      </c>
      <c r="K16" s="31">
        <v>416000</v>
      </c>
      <c r="L16" s="31">
        <f t="shared" si="3"/>
        <v>0.23021582733812951</v>
      </c>
      <c r="M16" s="31">
        <v>11612390</v>
      </c>
      <c r="N16" s="31">
        <v>375000</v>
      </c>
      <c r="O16" s="31">
        <f t="shared" si="4"/>
        <v>0.20752628666297732</v>
      </c>
      <c r="P16" s="31">
        <v>10078701</v>
      </c>
      <c r="Q16" s="31">
        <v>1807000</v>
      </c>
      <c r="R16" s="31">
        <v>52400059</v>
      </c>
    </row>
    <row r="17" spans="1:18" s="31" customFormat="1" x14ac:dyDescent="0.2">
      <c r="A17" s="31" t="s">
        <v>25</v>
      </c>
      <c r="B17" s="31">
        <v>203000</v>
      </c>
      <c r="C17" s="31">
        <f t="shared" si="0"/>
        <v>0.10315040650406504</v>
      </c>
      <c r="D17" s="31">
        <v>8786532</v>
      </c>
      <c r="E17" s="31">
        <v>461000</v>
      </c>
      <c r="F17" s="32">
        <f t="shared" si="1"/>
        <v>0.2342479674796748</v>
      </c>
      <c r="G17" s="31">
        <v>13759959</v>
      </c>
      <c r="H17" s="31">
        <v>436000</v>
      </c>
      <c r="I17" s="32">
        <f t="shared" si="2"/>
        <v>0.22154471544715448</v>
      </c>
      <c r="J17" s="31">
        <v>13641108</v>
      </c>
      <c r="K17" s="31">
        <v>462000</v>
      </c>
      <c r="L17" s="31">
        <f t="shared" si="3"/>
        <v>0.2347560975609756</v>
      </c>
      <c r="M17" s="31">
        <v>13298032</v>
      </c>
      <c r="N17" s="31">
        <v>406000</v>
      </c>
      <c r="O17" s="31">
        <f t="shared" si="4"/>
        <v>0.20630081300813008</v>
      </c>
      <c r="P17" s="31">
        <v>11672890</v>
      </c>
      <c r="Q17" s="31">
        <v>1968000</v>
      </c>
      <c r="R17" s="31">
        <v>61158521</v>
      </c>
    </row>
    <row r="18" spans="1:18" s="31" customFormat="1" x14ac:dyDescent="0.2">
      <c r="A18" s="31" t="s">
        <v>26</v>
      </c>
      <c r="B18" s="31">
        <v>347000</v>
      </c>
      <c r="C18" s="31">
        <f t="shared" si="0"/>
        <v>0.18340380549682875</v>
      </c>
      <c r="D18" s="31">
        <v>10838701</v>
      </c>
      <c r="E18" s="31">
        <v>413000</v>
      </c>
      <c r="F18" s="32">
        <f t="shared" si="1"/>
        <v>0.21828752642706131</v>
      </c>
      <c r="G18" s="31">
        <v>13868458</v>
      </c>
      <c r="H18" s="31">
        <v>462000</v>
      </c>
      <c r="I18" s="32">
        <f t="shared" si="2"/>
        <v>0.2441860465116279</v>
      </c>
      <c r="J18" s="31">
        <v>13953688</v>
      </c>
      <c r="K18" s="31">
        <v>318000</v>
      </c>
      <c r="L18" s="31">
        <f t="shared" si="3"/>
        <v>0.16807610993657504</v>
      </c>
      <c r="M18" s="31">
        <v>12602597</v>
      </c>
      <c r="N18" s="31">
        <v>352000</v>
      </c>
      <c r="O18" s="31">
        <f t="shared" si="4"/>
        <v>0.18604651162790697</v>
      </c>
      <c r="P18" s="31">
        <v>11645185</v>
      </c>
      <c r="Q18" s="31">
        <v>1892000</v>
      </c>
      <c r="R18" s="31">
        <v>62908629</v>
      </c>
    </row>
    <row r="19" spans="1:18" s="31" customFormat="1" x14ac:dyDescent="0.2">
      <c r="A19" s="31" t="s">
        <v>27</v>
      </c>
      <c r="B19" s="31">
        <v>211000</v>
      </c>
      <c r="C19" s="31">
        <f t="shared" si="0"/>
        <v>0.1159978009895547</v>
      </c>
      <c r="D19" s="31">
        <v>10179838</v>
      </c>
      <c r="E19" s="31">
        <v>370000</v>
      </c>
      <c r="F19" s="32">
        <f t="shared" si="1"/>
        <v>0.20340846619021441</v>
      </c>
      <c r="G19" s="31">
        <v>13277908</v>
      </c>
      <c r="H19" s="31">
        <v>385000</v>
      </c>
      <c r="I19" s="32">
        <f t="shared" si="2"/>
        <v>0.21165475536008796</v>
      </c>
      <c r="J19" s="31">
        <v>12414707</v>
      </c>
      <c r="K19" s="31">
        <v>489000</v>
      </c>
      <c r="L19" s="31">
        <f t="shared" si="3"/>
        <v>0.26882902693787797</v>
      </c>
      <c r="M19" s="31">
        <v>13770172</v>
      </c>
      <c r="N19" s="31">
        <v>364000</v>
      </c>
      <c r="O19" s="31">
        <f t="shared" si="4"/>
        <v>0.20010995052226499</v>
      </c>
      <c r="P19" s="31">
        <v>12720656</v>
      </c>
      <c r="Q19" s="31">
        <v>1819000</v>
      </c>
      <c r="R19" s="31">
        <v>62363281</v>
      </c>
    </row>
    <row r="20" spans="1:18" s="31" customFormat="1" x14ac:dyDescent="0.2">
      <c r="A20" s="31" t="s">
        <v>28</v>
      </c>
      <c r="B20" s="31">
        <v>251000</v>
      </c>
      <c r="C20" s="31">
        <f t="shared" si="0"/>
        <v>0.15756434400502198</v>
      </c>
      <c r="D20" s="31">
        <v>13135579</v>
      </c>
      <c r="E20" s="31">
        <v>217000</v>
      </c>
      <c r="F20" s="32">
        <f t="shared" si="1"/>
        <v>0.13622096672944131</v>
      </c>
      <c r="G20" s="31">
        <v>12139138</v>
      </c>
      <c r="H20" s="31">
        <v>462000</v>
      </c>
      <c r="I20" s="32">
        <f t="shared" si="2"/>
        <v>0.29001883239171372</v>
      </c>
      <c r="J20" s="31">
        <v>16770862</v>
      </c>
      <c r="K20" s="31">
        <v>299000</v>
      </c>
      <c r="L20" s="31">
        <f t="shared" si="3"/>
        <v>0.18769617074701819</v>
      </c>
      <c r="M20" s="31">
        <v>14430808</v>
      </c>
      <c r="N20" s="31">
        <v>364000</v>
      </c>
      <c r="O20" s="31">
        <f t="shared" si="4"/>
        <v>0.22849968612680477</v>
      </c>
      <c r="P20" s="31">
        <v>14492256</v>
      </c>
      <c r="Q20" s="31">
        <v>1593000</v>
      </c>
      <c r="R20" s="31">
        <v>70968643</v>
      </c>
    </row>
    <row r="21" spans="1:18" s="31" customFormat="1" x14ac:dyDescent="0.2">
      <c r="A21" s="31" t="s">
        <v>29</v>
      </c>
      <c r="B21" s="31">
        <v>463000</v>
      </c>
      <c r="C21" s="31">
        <f t="shared" si="0"/>
        <v>0.27575938058368077</v>
      </c>
      <c r="D21" s="31">
        <v>15050972</v>
      </c>
      <c r="E21" s="31">
        <v>463000</v>
      </c>
      <c r="F21" s="32">
        <f t="shared" si="1"/>
        <v>0.27575938058368077</v>
      </c>
      <c r="G21" s="31">
        <v>14248212</v>
      </c>
      <c r="H21" s="31">
        <v>298000</v>
      </c>
      <c r="I21" s="32">
        <f t="shared" si="2"/>
        <v>0.17748659916617035</v>
      </c>
      <c r="J21" s="31">
        <v>11526950</v>
      </c>
      <c r="K21" s="31">
        <v>211000</v>
      </c>
      <c r="L21" s="31">
        <f t="shared" si="3"/>
        <v>0.12567004169148302</v>
      </c>
      <c r="M21" s="31">
        <v>11390192</v>
      </c>
      <c r="N21" s="31">
        <v>244000</v>
      </c>
      <c r="O21" s="31">
        <f t="shared" si="4"/>
        <v>0.14532459797498512</v>
      </c>
      <c r="P21" s="31">
        <v>11731311</v>
      </c>
      <c r="Q21" s="31">
        <v>1679000</v>
      </c>
      <c r="R21" s="31">
        <v>63947637</v>
      </c>
    </row>
    <row r="22" spans="1:18" s="31" customFormat="1" x14ac:dyDescent="0.2">
      <c r="A22" s="31" t="s">
        <v>30</v>
      </c>
      <c r="B22" s="31">
        <v>289000</v>
      </c>
      <c r="C22" s="31">
        <f t="shared" si="0"/>
        <v>0.20181564245810055</v>
      </c>
      <c r="D22" s="31">
        <v>10971265</v>
      </c>
      <c r="E22" s="31">
        <v>268000</v>
      </c>
      <c r="F22" s="32">
        <f t="shared" si="1"/>
        <v>0.18715083798882681</v>
      </c>
      <c r="G22" s="31">
        <v>9718553</v>
      </c>
      <c r="H22" s="31">
        <v>264000</v>
      </c>
      <c r="I22" s="32">
        <f t="shared" si="2"/>
        <v>0.18435754189944134</v>
      </c>
      <c r="J22" s="31">
        <v>10833138</v>
      </c>
      <c r="K22" s="31">
        <v>356000</v>
      </c>
      <c r="L22" s="31">
        <f t="shared" si="3"/>
        <v>0.24860335195530725</v>
      </c>
      <c r="M22" s="31">
        <v>12786812</v>
      </c>
      <c r="N22" s="31">
        <v>255000</v>
      </c>
      <c r="O22" s="31">
        <f t="shared" si="4"/>
        <v>0.17807262569832402</v>
      </c>
      <c r="P22" s="31">
        <v>11470851</v>
      </c>
      <c r="Q22" s="31">
        <v>1432000</v>
      </c>
      <c r="R22" s="31">
        <v>55780619</v>
      </c>
    </row>
    <row r="23" spans="1:18" s="31" customFormat="1" x14ac:dyDescent="0.2">
      <c r="A23" s="31" t="s">
        <v>31</v>
      </c>
      <c r="B23" s="31">
        <v>389000</v>
      </c>
      <c r="C23" s="31">
        <f t="shared" si="0"/>
        <v>0.23307369682444579</v>
      </c>
      <c r="D23" s="31">
        <v>11429115</v>
      </c>
      <c r="E23" s="31">
        <v>327000</v>
      </c>
      <c r="F23" s="32">
        <f t="shared" si="1"/>
        <v>0.19592570401437986</v>
      </c>
      <c r="G23" s="31">
        <v>10681023</v>
      </c>
      <c r="H23" s="31">
        <v>250000</v>
      </c>
      <c r="I23" s="32">
        <f t="shared" si="2"/>
        <v>0.14979029358897544</v>
      </c>
      <c r="J23" s="31">
        <v>10060509</v>
      </c>
      <c r="K23" s="31">
        <v>413000</v>
      </c>
      <c r="L23" s="31">
        <f t="shared" si="3"/>
        <v>0.24745356500898741</v>
      </c>
      <c r="M23" s="31">
        <v>11915906</v>
      </c>
      <c r="N23" s="31">
        <v>290000</v>
      </c>
      <c r="O23" s="31">
        <f t="shared" si="4"/>
        <v>0.1737567405632115</v>
      </c>
      <c r="P23" s="31">
        <v>11072414</v>
      </c>
      <c r="Q23" s="31">
        <v>1669000</v>
      </c>
      <c r="R23" s="31">
        <v>55158967</v>
      </c>
    </row>
    <row r="24" spans="1:18" s="31" customFormat="1" x14ac:dyDescent="0.2">
      <c r="A24" s="31" t="s">
        <v>32</v>
      </c>
      <c r="B24" s="31">
        <v>279000</v>
      </c>
      <c r="C24" s="31">
        <f t="shared" si="0"/>
        <v>0.14337101747173689</v>
      </c>
      <c r="D24" s="31">
        <v>12298177</v>
      </c>
      <c r="E24" s="31">
        <v>372000</v>
      </c>
      <c r="F24" s="32">
        <f t="shared" si="1"/>
        <v>0.19116135662898254</v>
      </c>
      <c r="G24" s="31">
        <v>13702626</v>
      </c>
      <c r="H24" s="31">
        <v>471000</v>
      </c>
      <c r="I24" s="32">
        <f t="shared" si="2"/>
        <v>0.2420349434737924</v>
      </c>
      <c r="J24" s="31">
        <v>16722082</v>
      </c>
      <c r="K24" s="31">
        <v>468000</v>
      </c>
      <c r="L24" s="31">
        <f t="shared" si="3"/>
        <v>0.24049331963001028</v>
      </c>
      <c r="M24" s="31">
        <v>15590059</v>
      </c>
      <c r="N24" s="31">
        <v>356000</v>
      </c>
      <c r="O24" s="31">
        <f t="shared" si="4"/>
        <v>0.1829393627954779</v>
      </c>
      <c r="P24" s="31">
        <v>15100072</v>
      </c>
      <c r="Q24" s="31">
        <v>1946000</v>
      </c>
      <c r="R24" s="31">
        <v>73413016</v>
      </c>
    </row>
    <row r="25" spans="1:18" s="31" customFormat="1" x14ac:dyDescent="0.2">
      <c r="A25" s="31" t="s">
        <v>33</v>
      </c>
      <c r="B25" s="31">
        <v>470000</v>
      </c>
      <c r="C25" s="31">
        <f t="shared" si="0"/>
        <v>0.25866813428728674</v>
      </c>
      <c r="D25" s="31">
        <v>18866700</v>
      </c>
      <c r="E25" s="31">
        <v>213000</v>
      </c>
      <c r="F25" s="32">
        <f t="shared" si="1"/>
        <v>0.11722619702806825</v>
      </c>
      <c r="G25" s="31">
        <v>11935152</v>
      </c>
      <c r="H25" s="31">
        <v>392000</v>
      </c>
      <c r="I25" s="32">
        <f t="shared" si="2"/>
        <v>0.21574023115024765</v>
      </c>
      <c r="J25" s="31">
        <v>15101566</v>
      </c>
      <c r="K25" s="31">
        <v>342000</v>
      </c>
      <c r="L25" s="31">
        <f t="shared" si="3"/>
        <v>0.18822234452394057</v>
      </c>
      <c r="M25" s="31">
        <v>14577875</v>
      </c>
      <c r="N25" s="31">
        <v>400000</v>
      </c>
      <c r="O25" s="31">
        <f t="shared" si="4"/>
        <v>0.22014309301045679</v>
      </c>
      <c r="P25" s="31">
        <v>15367017</v>
      </c>
      <c r="Q25" s="31">
        <v>1817000</v>
      </c>
      <c r="R25" s="31">
        <v>75848310</v>
      </c>
    </row>
    <row r="26" spans="1:18" s="29" customFormat="1" x14ac:dyDescent="0.2">
      <c r="A26" s="29" t="s">
        <v>34</v>
      </c>
      <c r="B26" s="29">
        <v>362000</v>
      </c>
      <c r="C26" s="29">
        <f t="shared" si="0"/>
        <v>0.22140672782874618</v>
      </c>
      <c r="D26" s="29">
        <v>10726982</v>
      </c>
      <c r="E26" s="29">
        <v>282000</v>
      </c>
      <c r="F26" s="32">
        <f t="shared" si="1"/>
        <v>0.1724770642201835</v>
      </c>
      <c r="G26" s="29">
        <v>9764192</v>
      </c>
      <c r="H26" s="29">
        <v>387000</v>
      </c>
      <c r="I26" s="32">
        <f t="shared" si="2"/>
        <v>0.23669724770642203</v>
      </c>
      <c r="J26" s="29">
        <v>9646859</v>
      </c>
      <c r="K26" s="29">
        <v>386000</v>
      </c>
      <c r="L26" s="29">
        <f t="shared" si="3"/>
        <v>0.23608562691131499</v>
      </c>
      <c r="M26" s="29">
        <v>9446086</v>
      </c>
      <c r="N26" s="29">
        <v>218000</v>
      </c>
      <c r="O26" s="29">
        <f>N26/Q26</f>
        <v>0.13333333333333333</v>
      </c>
      <c r="P26" s="29">
        <v>8091780</v>
      </c>
      <c r="Q26" s="29">
        <v>1635000</v>
      </c>
      <c r="R26" s="29">
        <v>47675899</v>
      </c>
    </row>
    <row r="27" spans="1:18" s="29" customFormat="1" x14ac:dyDescent="0.2">
      <c r="A27" s="29" t="s">
        <v>35</v>
      </c>
      <c r="B27" s="29">
        <v>377000</v>
      </c>
      <c r="C27" s="29">
        <f t="shared" si="0"/>
        <v>0.22848484848484849</v>
      </c>
      <c r="D27" s="29">
        <v>9770156</v>
      </c>
      <c r="E27" s="29">
        <v>395000</v>
      </c>
      <c r="F27" s="32">
        <f t="shared" si="1"/>
        <v>0.23939393939393938</v>
      </c>
      <c r="G27" s="29">
        <v>10111050</v>
      </c>
      <c r="H27" s="29">
        <v>221000</v>
      </c>
      <c r="I27" s="32">
        <f t="shared" si="2"/>
        <v>0.13393939393939394</v>
      </c>
      <c r="J27" s="29">
        <v>8724897</v>
      </c>
      <c r="K27" s="29">
        <v>374000</v>
      </c>
      <c r="L27" s="29">
        <f t="shared" si="3"/>
        <v>0.22666666666666666</v>
      </c>
      <c r="M27" s="29">
        <v>10596715</v>
      </c>
      <c r="N27" s="29">
        <v>283000</v>
      </c>
      <c r="O27" s="29">
        <f t="shared" si="4"/>
        <v>0.17151515151515151</v>
      </c>
      <c r="P27" s="29">
        <v>10246543</v>
      </c>
      <c r="Q27" s="29">
        <v>1650000</v>
      </c>
      <c r="R27" s="29">
        <v>49449361</v>
      </c>
    </row>
    <row r="28" spans="1:18" s="29" customFormat="1" x14ac:dyDescent="0.2">
      <c r="A28" s="29" t="s">
        <v>36</v>
      </c>
      <c r="B28" s="29">
        <v>234000</v>
      </c>
      <c r="C28" s="29">
        <f t="shared" si="0"/>
        <v>0.16160220994475138</v>
      </c>
      <c r="D28" s="29">
        <v>8693235</v>
      </c>
      <c r="E28" s="29">
        <v>393000</v>
      </c>
      <c r="F28" s="32">
        <f t="shared" si="1"/>
        <v>0.27140883977900554</v>
      </c>
      <c r="G28" s="29">
        <v>11869802</v>
      </c>
      <c r="H28" s="29">
        <v>288000</v>
      </c>
      <c r="I28" s="32">
        <f t="shared" si="2"/>
        <v>0.19889502762430938</v>
      </c>
      <c r="J28" s="29">
        <v>10221640</v>
      </c>
      <c r="K28" s="29">
        <v>297000</v>
      </c>
      <c r="L28" s="29">
        <f t="shared" si="3"/>
        <v>0.20511049723756905</v>
      </c>
      <c r="M28" s="29">
        <v>10642313</v>
      </c>
      <c r="N28" s="29">
        <v>236000</v>
      </c>
      <c r="O28" s="29">
        <f t="shared" si="4"/>
        <v>0.16298342541436464</v>
      </c>
      <c r="P28" s="29">
        <v>9629005</v>
      </c>
      <c r="Q28" s="29">
        <v>1448000</v>
      </c>
      <c r="R28" s="29">
        <v>51055995</v>
      </c>
    </row>
    <row r="29" spans="1:18" s="29" customFormat="1" x14ac:dyDescent="0.2">
      <c r="A29" s="29" t="s">
        <v>37</v>
      </c>
      <c r="B29" s="29">
        <v>451000</v>
      </c>
      <c r="C29" s="29">
        <f t="shared" si="0"/>
        <v>0.22393247269116187</v>
      </c>
      <c r="D29" s="29">
        <v>13011268</v>
      </c>
      <c r="E29" s="29">
        <v>303000</v>
      </c>
      <c r="F29" s="32">
        <f t="shared" si="1"/>
        <v>0.15044687189672293</v>
      </c>
      <c r="G29" s="29">
        <v>10200119</v>
      </c>
      <c r="H29" s="29">
        <v>441000</v>
      </c>
      <c r="I29" s="32">
        <f t="shared" si="2"/>
        <v>0.21896722939424032</v>
      </c>
      <c r="J29" s="29">
        <v>13622284</v>
      </c>
      <c r="K29" s="29">
        <v>491000</v>
      </c>
      <c r="L29" s="29">
        <f t="shared" si="3"/>
        <v>0.24379344587884808</v>
      </c>
      <c r="M29" s="29">
        <v>11829206</v>
      </c>
      <c r="N29" s="29">
        <v>328000</v>
      </c>
      <c r="O29" s="29">
        <f t="shared" si="4"/>
        <v>0.16285998013902681</v>
      </c>
      <c r="P29" s="29">
        <v>10026627</v>
      </c>
      <c r="Q29" s="29">
        <v>2014000</v>
      </c>
      <c r="R29" s="29">
        <v>58689504</v>
      </c>
    </row>
    <row r="30" spans="1:18" s="29" customFormat="1" x14ac:dyDescent="0.2">
      <c r="A30" s="29" t="s">
        <v>38</v>
      </c>
      <c r="B30" s="29">
        <v>317000</v>
      </c>
      <c r="C30" s="29">
        <f t="shared" si="0"/>
        <v>0.17759103641456583</v>
      </c>
      <c r="D30" s="29">
        <v>11352418</v>
      </c>
      <c r="E30" s="29">
        <v>463000</v>
      </c>
      <c r="F30" s="32">
        <f t="shared" si="1"/>
        <v>0.25938375350140058</v>
      </c>
      <c r="G30" s="29">
        <v>13616512</v>
      </c>
      <c r="H30" s="29">
        <v>372000</v>
      </c>
      <c r="I30" s="32">
        <f t="shared" si="2"/>
        <v>0.20840336134453782</v>
      </c>
      <c r="J30" s="29">
        <v>11515771</v>
      </c>
      <c r="K30" s="29">
        <v>420000</v>
      </c>
      <c r="L30" s="29">
        <f t="shared" si="3"/>
        <v>0.23529411764705882</v>
      </c>
      <c r="M30" s="29">
        <v>13811017</v>
      </c>
      <c r="N30" s="29">
        <v>213000</v>
      </c>
      <c r="O30" s="29">
        <f t="shared" si="4"/>
        <v>0.11932773109243698</v>
      </c>
      <c r="P30" s="29">
        <v>9860504</v>
      </c>
      <c r="Q30" s="29">
        <v>1785000</v>
      </c>
      <c r="R30" s="29">
        <v>60156222</v>
      </c>
    </row>
    <row r="31" spans="1:18" s="29" customFormat="1" x14ac:dyDescent="0.2">
      <c r="A31" s="29" t="s">
        <v>39</v>
      </c>
      <c r="B31" s="29">
        <v>394000</v>
      </c>
      <c r="C31" s="29">
        <f t="shared" si="0"/>
        <v>0.2106951871657754</v>
      </c>
      <c r="D31" s="29">
        <v>13413843</v>
      </c>
      <c r="E31" s="29">
        <v>450000</v>
      </c>
      <c r="F31" s="32">
        <f t="shared" si="1"/>
        <v>0.24064171122994651</v>
      </c>
      <c r="G31" s="29">
        <v>15620596</v>
      </c>
      <c r="H31" s="29">
        <v>476000</v>
      </c>
      <c r="I31" s="32">
        <f t="shared" si="2"/>
        <v>0.25454545454545452</v>
      </c>
      <c r="J31" s="29">
        <v>15333286</v>
      </c>
      <c r="K31" s="29">
        <v>250000</v>
      </c>
      <c r="L31" s="29">
        <f t="shared" si="3"/>
        <v>0.13368983957219252</v>
      </c>
      <c r="M31" s="29">
        <v>11870417</v>
      </c>
      <c r="N31" s="29">
        <v>300000</v>
      </c>
      <c r="O31" s="29">
        <f t="shared" si="4"/>
        <v>0.16042780748663102</v>
      </c>
      <c r="P31" s="29">
        <v>11704563</v>
      </c>
      <c r="Q31" s="29">
        <v>1870000</v>
      </c>
      <c r="R31" s="29">
        <v>67942705</v>
      </c>
    </row>
    <row r="32" spans="1:18" s="29" customFormat="1" x14ac:dyDescent="0.2">
      <c r="A32" s="29" t="s">
        <v>40</v>
      </c>
      <c r="B32" s="29">
        <v>406000</v>
      </c>
      <c r="C32" s="29">
        <f t="shared" si="0"/>
        <v>0.21101871101871103</v>
      </c>
      <c r="D32" s="29">
        <v>16134697</v>
      </c>
      <c r="E32" s="29">
        <v>290000</v>
      </c>
      <c r="F32" s="32">
        <f t="shared" si="1"/>
        <v>0.15072765072765074</v>
      </c>
      <c r="G32" s="29">
        <v>14018716</v>
      </c>
      <c r="H32" s="29">
        <v>404000</v>
      </c>
      <c r="I32" s="32">
        <f t="shared" si="2"/>
        <v>0.20997920997920999</v>
      </c>
      <c r="J32" s="29">
        <v>16219687</v>
      </c>
      <c r="K32" s="29">
        <v>328000</v>
      </c>
      <c r="L32" s="29">
        <f t="shared" si="3"/>
        <v>0.17047817047817049</v>
      </c>
      <c r="M32" s="29">
        <v>13059668</v>
      </c>
      <c r="N32" s="29">
        <v>496000</v>
      </c>
      <c r="O32" s="29">
        <f t="shared" si="4"/>
        <v>0.25779625779625781</v>
      </c>
      <c r="P32" s="29">
        <v>17629105</v>
      </c>
      <c r="Q32" s="29">
        <v>1924000</v>
      </c>
      <c r="R32" s="29">
        <v>77061873</v>
      </c>
    </row>
    <row r="33" spans="1:18" s="29" customFormat="1" x14ac:dyDescent="0.2">
      <c r="A33" s="29" t="s">
        <v>41</v>
      </c>
      <c r="B33" s="29">
        <v>204000</v>
      </c>
      <c r="C33" s="29">
        <f t="shared" si="0"/>
        <v>0.15442846328538987</v>
      </c>
      <c r="D33" s="29">
        <v>10468129</v>
      </c>
      <c r="E33" s="29">
        <v>210000</v>
      </c>
      <c r="F33" s="32">
        <f t="shared" si="1"/>
        <v>0.15897047691143074</v>
      </c>
      <c r="G33" s="29">
        <v>11598021</v>
      </c>
      <c r="H33" s="29">
        <v>391000</v>
      </c>
      <c r="I33" s="32">
        <f t="shared" si="2"/>
        <v>0.29598788796366388</v>
      </c>
      <c r="J33" s="29">
        <v>14765223</v>
      </c>
      <c r="K33" s="29">
        <v>290000</v>
      </c>
      <c r="L33" s="29">
        <f t="shared" si="3"/>
        <v>0.21953065859197576</v>
      </c>
      <c r="M33" s="29">
        <v>12679916</v>
      </c>
      <c r="N33" s="29">
        <v>226000</v>
      </c>
      <c r="O33" s="29">
        <f t="shared" si="4"/>
        <v>0.17108251324753973</v>
      </c>
      <c r="P33" s="29">
        <v>9980041</v>
      </c>
      <c r="Q33" s="29">
        <v>1321000</v>
      </c>
      <c r="R33" s="29">
        <v>59491330</v>
      </c>
    </row>
    <row r="34" spans="1:18" s="29" customFormat="1" x14ac:dyDescent="0.2">
      <c r="A34" s="29" t="s">
        <v>42</v>
      </c>
      <c r="B34" s="29">
        <v>223000</v>
      </c>
      <c r="C34" s="29">
        <f t="shared" si="0"/>
        <v>0.12598870056497175</v>
      </c>
      <c r="D34" s="29">
        <v>9983010</v>
      </c>
      <c r="E34" s="29">
        <v>307000</v>
      </c>
      <c r="F34" s="32">
        <f t="shared" si="1"/>
        <v>0.17344632768361581</v>
      </c>
      <c r="G34" s="29">
        <v>11313092</v>
      </c>
      <c r="H34" s="29">
        <v>386000</v>
      </c>
      <c r="I34" s="32">
        <f t="shared" si="2"/>
        <v>0.21807909604519773</v>
      </c>
      <c r="J34" s="29">
        <v>12348882</v>
      </c>
      <c r="K34" s="29">
        <v>499000</v>
      </c>
      <c r="L34" s="29">
        <f t="shared" si="3"/>
        <v>0.28192090395480224</v>
      </c>
      <c r="M34" s="29">
        <v>14933693</v>
      </c>
      <c r="N34" s="29">
        <v>355000</v>
      </c>
      <c r="O34" s="29">
        <f t="shared" si="4"/>
        <v>0.20056497175141244</v>
      </c>
      <c r="P34" s="29">
        <v>13183269</v>
      </c>
      <c r="Q34" s="29">
        <v>1770000</v>
      </c>
      <c r="R34" s="29">
        <v>61761946</v>
      </c>
    </row>
    <row r="35" spans="1:18" s="29" customFormat="1" x14ac:dyDescent="0.2">
      <c r="A35" s="29" t="s">
        <v>43</v>
      </c>
      <c r="B35" s="29">
        <v>268000</v>
      </c>
      <c r="C35" s="29">
        <f t="shared" si="0"/>
        <v>0.13514876449823499</v>
      </c>
      <c r="D35" s="29">
        <v>9491006</v>
      </c>
      <c r="E35" s="29">
        <v>497000</v>
      </c>
      <c r="F35" s="32">
        <f t="shared" si="1"/>
        <v>0.25063035804336864</v>
      </c>
      <c r="G35" s="29">
        <v>11887376</v>
      </c>
      <c r="H35" s="29">
        <v>295000</v>
      </c>
      <c r="I35" s="32">
        <f t="shared" si="2"/>
        <v>0.14876449823499749</v>
      </c>
      <c r="J35" s="29">
        <v>10565217</v>
      </c>
      <c r="K35" s="29">
        <v>428000</v>
      </c>
      <c r="L35" s="29">
        <f t="shared" si="3"/>
        <v>0.21583459404942007</v>
      </c>
      <c r="M35" s="29">
        <v>12681661</v>
      </c>
      <c r="N35" s="29">
        <v>495000</v>
      </c>
      <c r="O35" s="29">
        <f t="shared" si="4"/>
        <v>0.24962178517397882</v>
      </c>
      <c r="P35" s="29">
        <v>11663467</v>
      </c>
      <c r="Q35" s="29">
        <v>1983000</v>
      </c>
      <c r="R35" s="29">
        <v>56288727</v>
      </c>
    </row>
    <row r="36" spans="1:18" s="29" customFormat="1" x14ac:dyDescent="0.2">
      <c r="A36" s="29" t="s">
        <v>44</v>
      </c>
      <c r="B36" s="29">
        <v>235000</v>
      </c>
      <c r="C36" s="29">
        <f t="shared" si="0"/>
        <v>0.13390313390313391</v>
      </c>
      <c r="D36" s="29">
        <v>12299452</v>
      </c>
      <c r="E36" s="29">
        <v>457000</v>
      </c>
      <c r="F36" s="32">
        <f t="shared" si="1"/>
        <v>0.2603988603988604</v>
      </c>
      <c r="G36" s="29">
        <v>14659155</v>
      </c>
      <c r="H36" s="29">
        <v>306000</v>
      </c>
      <c r="I36" s="32">
        <f t="shared" si="2"/>
        <v>0.17435897435897435</v>
      </c>
      <c r="J36" s="29">
        <v>12503153</v>
      </c>
      <c r="K36" s="29">
        <v>415000</v>
      </c>
      <c r="L36" s="29">
        <f t="shared" si="3"/>
        <v>0.23646723646723647</v>
      </c>
      <c r="M36" s="29">
        <v>16291962</v>
      </c>
      <c r="N36" s="29">
        <v>342000</v>
      </c>
      <c r="O36" s="29">
        <f t="shared" si="4"/>
        <v>0.19487179487179487</v>
      </c>
      <c r="P36" s="29">
        <v>13084057</v>
      </c>
      <c r="Q36" s="29">
        <v>1755000</v>
      </c>
      <c r="R36" s="29">
        <v>68837779</v>
      </c>
    </row>
    <row r="37" spans="1:18" s="29" customFormat="1" x14ac:dyDescent="0.2">
      <c r="A37" s="29" t="s">
        <v>45</v>
      </c>
      <c r="B37" s="29">
        <v>302000</v>
      </c>
      <c r="C37" s="29">
        <f t="shared" si="0"/>
        <v>0.19408740359897173</v>
      </c>
      <c r="D37" s="29">
        <v>13156272</v>
      </c>
      <c r="E37" s="29">
        <v>226000</v>
      </c>
      <c r="F37" s="32">
        <f t="shared" si="1"/>
        <v>0.14524421593830333</v>
      </c>
      <c r="G37" s="29">
        <v>13515252</v>
      </c>
      <c r="H37" s="29">
        <v>421000</v>
      </c>
      <c r="I37" s="32">
        <f t="shared" si="2"/>
        <v>0.27056555269922877</v>
      </c>
      <c r="J37" s="29">
        <v>16628992</v>
      </c>
      <c r="K37" s="29">
        <v>331000</v>
      </c>
      <c r="L37" s="29">
        <f t="shared" si="3"/>
        <v>0.21272493573264781</v>
      </c>
      <c r="M37" s="29">
        <v>14035171</v>
      </c>
      <c r="N37" s="29">
        <v>276000</v>
      </c>
      <c r="O37" s="29">
        <f t="shared" si="4"/>
        <v>0.17737789203084833</v>
      </c>
      <c r="P37" s="29">
        <v>13785379</v>
      </c>
      <c r="Q37" s="29">
        <v>1556000</v>
      </c>
      <c r="R37" s="29">
        <v>71121066</v>
      </c>
    </row>
    <row r="38" spans="1:18" x14ac:dyDescent="0.2">
      <c r="A38" t="s">
        <v>139</v>
      </c>
      <c r="B38">
        <v>12080000</v>
      </c>
      <c r="C38">
        <f t="shared" si="0"/>
        <v>0.18750776108282627</v>
      </c>
      <c r="D38">
        <v>423677773</v>
      </c>
      <c r="E38">
        <v>13193000</v>
      </c>
      <c r="F38">
        <f>E38/Q38</f>
        <v>0.20478393145411647</v>
      </c>
      <c r="G38">
        <v>444360705</v>
      </c>
      <c r="H38">
        <v>13571000</v>
      </c>
      <c r="I38">
        <f>H38/Q38</f>
        <v>0.21065131007078108</v>
      </c>
      <c r="J38">
        <v>459557993</v>
      </c>
      <c r="K38">
        <v>13305000</v>
      </c>
      <c r="L38">
        <f>K38/Q38</f>
        <v>0.20652241400720228</v>
      </c>
      <c r="M38">
        <v>451942073</v>
      </c>
      <c r="N38">
        <v>12275000</v>
      </c>
      <c r="O38">
        <f>N38/Q38</f>
        <v>0.1905345833850739</v>
      </c>
      <c r="P38">
        <v>436209585</v>
      </c>
      <c r="Q38">
        <v>64424000</v>
      </c>
      <c r="R38">
        <v>2215748129</v>
      </c>
    </row>
    <row r="39" spans="1:18" s="30" customFormat="1" x14ac:dyDescent="0.2">
      <c r="A39" s="30" t="s">
        <v>136</v>
      </c>
      <c r="C39" s="30">
        <f>AVERAGE((C26:C37))</f>
        <v>0.18152397161660519</v>
      </c>
      <c r="F39" s="30">
        <f>AVERAGE((F26:F37))</f>
        <v>0.20609750581036901</v>
      </c>
      <c r="I39" s="30">
        <f>AVERAGE((I26:I37))</f>
        <v>0.21409857781963582</v>
      </c>
      <c r="L39" s="30">
        <f>AVERAGE((L26:L37))</f>
        <v>0.21813305776565864</v>
      </c>
      <c r="O39" s="30">
        <f>AVERAGE((O26:O37))</f>
        <v>0.18014688698773137</v>
      </c>
      <c r="Q39" s="30">
        <f>SUM(Q26:Q37)</f>
        <v>20711000</v>
      </c>
      <c r="R39" s="30">
        <f>SUM(R26:R37)</f>
        <v>729532407</v>
      </c>
    </row>
    <row r="40" spans="1:18" s="30" customFormat="1" x14ac:dyDescent="0.2">
      <c r="A40" s="30" t="s">
        <v>137</v>
      </c>
      <c r="C40" s="30">
        <f>AVERAGE(C14:C25)</f>
        <v>0.18570333810158493</v>
      </c>
      <c r="F40" s="30">
        <f>AVERAGE(F14:F25)</f>
        <v>0.19979973618781213</v>
      </c>
      <c r="I40" s="30">
        <f>AVERAGE(I14:I25)</f>
        <v>0.21129534521866453</v>
      </c>
      <c r="L40" s="30">
        <f>AVERAGE(L14:L25)</f>
        <v>0.21726318203582673</v>
      </c>
      <c r="O40" s="30">
        <f>AVERAGE(O14:O25)</f>
        <v>0.18593839845611163</v>
      </c>
      <c r="Q40" s="30">
        <f>SUM(Q14:Q25)</f>
        <v>21217000</v>
      </c>
      <c r="R40" s="30">
        <f>SUM(R12:R25)</f>
        <v>883041209</v>
      </c>
    </row>
    <row r="41" spans="1:18" s="30" customFormat="1" x14ac:dyDescent="0.2">
      <c r="A41" s="30" t="s">
        <v>138</v>
      </c>
      <c r="C41" s="30">
        <f>AVERAGE(C2:C13)</f>
        <v>0.19469290099681238</v>
      </c>
      <c r="F41" s="30">
        <f>AVERAGE(F2:F13)</f>
        <v>0.20767519140349977</v>
      </c>
      <c r="I41" s="30">
        <f>AVERAGE(I2:I13)</f>
        <v>0.20945659546230652</v>
      </c>
      <c r="L41" s="30">
        <f>AVERAGE(L2:L13)</f>
        <v>0.18530885430627517</v>
      </c>
      <c r="O41" s="30">
        <f>AVERAGE(O2:O13)</f>
        <v>0.20286645783110613</v>
      </c>
      <c r="Q41" s="30">
        <f>SUM(Q2:Q13)</f>
        <v>22496000</v>
      </c>
      <c r="R41" s="30">
        <f>SUM(R2:R14)</f>
        <v>800041777</v>
      </c>
    </row>
    <row r="42" spans="1:18" x14ac:dyDescent="0.2">
      <c r="B42">
        <f>SUM(B2:B37)</f>
        <v>12080000</v>
      </c>
      <c r="C42">
        <f>AVERAGE(C2:C37)</f>
        <v>0.18730673690500088</v>
      </c>
      <c r="F42">
        <f>AVERAGE(F2:F37)</f>
        <v>0.20452414446722697</v>
      </c>
      <c r="I42">
        <f>AVERAGE(I2:I37)</f>
        <v>0.21161683950020233</v>
      </c>
      <c r="L42">
        <f>AVERAGE(L2:L37)</f>
        <v>0.2069016980359201</v>
      </c>
      <c r="O42">
        <f>AVERAGE(O2:O37)</f>
        <v>0.18965058109164973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AC89-AFA0-6446-A047-0F81E21915AE}">
  <dimension ref="A1:R32"/>
  <sheetViews>
    <sheetView workbookViewId="0">
      <selection activeCell="C14" sqref="C14"/>
    </sheetView>
  </sheetViews>
  <sheetFormatPr baseColWidth="10" defaultRowHeight="15" x14ac:dyDescent="0.2"/>
  <cols>
    <col min="2" max="2" width="25" customWidth="1"/>
    <col min="3" max="3" width="22.33203125" customWidth="1"/>
    <col min="4" max="4" width="24.6640625" bestFit="1" customWidth="1"/>
    <col min="5" max="7" width="24.6640625" customWidth="1"/>
    <col min="8" max="8" width="21.1640625" bestFit="1" customWidth="1"/>
    <col min="9" max="9" width="21.1640625" customWidth="1"/>
    <col min="14" max="14" width="22.33203125" bestFit="1" customWidth="1"/>
    <col min="15" max="15" width="22.33203125" customWidth="1"/>
    <col min="16" max="16" width="11.5" customWidth="1"/>
    <col min="17" max="17" width="16.1640625" customWidth="1"/>
    <col min="18" max="18" width="11.6640625" bestFit="1" customWidth="1"/>
  </cols>
  <sheetData>
    <row r="1" spans="1:18" s="40" customFormat="1" x14ac:dyDescent="0.2">
      <c r="A1" s="39" t="s">
        <v>0</v>
      </c>
      <c r="B1" s="39" t="s">
        <v>146</v>
      </c>
      <c r="C1" s="39" t="s">
        <v>145</v>
      </c>
      <c r="D1" s="39" t="s">
        <v>141</v>
      </c>
      <c r="E1" s="39" t="s">
        <v>148</v>
      </c>
      <c r="F1" s="39" t="s">
        <v>149</v>
      </c>
      <c r="G1" s="39" t="s">
        <v>131</v>
      </c>
      <c r="H1" s="39" t="s">
        <v>142</v>
      </c>
      <c r="I1" s="39" t="s">
        <v>132</v>
      </c>
      <c r="J1" s="39" t="s">
        <v>123</v>
      </c>
      <c r="K1" s="39" t="s">
        <v>133</v>
      </c>
      <c r="L1" s="39" t="s">
        <v>125</v>
      </c>
      <c r="M1" s="39" t="s">
        <v>134</v>
      </c>
      <c r="N1" s="39" t="s">
        <v>127</v>
      </c>
      <c r="O1" s="39" t="s">
        <v>135</v>
      </c>
      <c r="P1" s="39" t="s">
        <v>143</v>
      </c>
      <c r="Q1" s="39" t="s">
        <v>140</v>
      </c>
      <c r="R1" s="39" t="s">
        <v>144</v>
      </c>
    </row>
    <row r="2" spans="1:18" x14ac:dyDescent="0.2">
      <c r="A2" s="37">
        <v>44927</v>
      </c>
      <c r="B2" s="36">
        <v>57689047.200000003</v>
      </c>
      <c r="C2" s="36">
        <v>73413031.610914901</v>
      </c>
      <c r="D2" s="36">
        <v>2718042.4789575501</v>
      </c>
      <c r="E2" s="36">
        <f>B2/D2</f>
        <v>21.224483298776647</v>
      </c>
      <c r="F2" s="36">
        <f>C2/D2</f>
        <v>27.009523279809436</v>
      </c>
      <c r="G2" s="36">
        <v>0.22140672782874599</v>
      </c>
      <c r="H2" s="36">
        <f>D2*G2</f>
        <v>601792.89136552438</v>
      </c>
      <c r="I2" s="36">
        <v>0.1724770642201835</v>
      </c>
      <c r="J2" s="36">
        <f>D2*I2</f>
        <v>468799.98719634814</v>
      </c>
      <c r="K2" s="36">
        <v>0.23669724770642203</v>
      </c>
      <c r="L2" s="36">
        <f>D2*K2</f>
        <v>643353.17391839263</v>
      </c>
      <c r="M2" s="36">
        <v>0.23608562691131499</v>
      </c>
      <c r="N2" s="36">
        <f>D2*M2</f>
        <v>641690.76261627791</v>
      </c>
      <c r="O2" s="36">
        <v>0.13333333333333333</v>
      </c>
      <c r="P2" s="36">
        <f>D2*O2</f>
        <v>362405.66386100667</v>
      </c>
      <c r="Q2" s="36">
        <f>G2+I2+K2+M2+O2</f>
        <v>0.99999999999999978</v>
      </c>
      <c r="R2" s="38">
        <f>H2+J2+L2+N2+P2</f>
        <v>2718042.4789575497</v>
      </c>
    </row>
    <row r="3" spans="1:18" x14ac:dyDescent="0.2">
      <c r="A3" s="37">
        <v>44958</v>
      </c>
      <c r="B3" s="36">
        <v>39726715.770000003</v>
      </c>
      <c r="C3" s="36">
        <v>75848302.703085497</v>
      </c>
      <c r="D3" s="36">
        <v>2546476.5937550301</v>
      </c>
      <c r="E3" s="36">
        <f t="shared" ref="E3:E13" si="0">B3/D3</f>
        <v>15.600660091447789</v>
      </c>
      <c r="F3" s="36">
        <f t="shared" ref="F3:F13" si="1">C3/D3</f>
        <v>29.785588011723963</v>
      </c>
      <c r="G3" s="36">
        <v>0.22848484848484849</v>
      </c>
      <c r="H3" s="36">
        <f t="shared" ref="H3:H13" si="2">D3*G3</f>
        <v>581831.3186943311</v>
      </c>
      <c r="I3" s="36">
        <v>0.23939393939393938</v>
      </c>
      <c r="J3" s="36">
        <f t="shared" ref="J3:J13" si="3">D3*I3</f>
        <v>609611.06335347681</v>
      </c>
      <c r="K3" s="36">
        <v>0.13393939393939394</v>
      </c>
      <c r="L3" s="36">
        <f t="shared" ref="L3:L13" si="4">D3*K3</f>
        <v>341073.531648401</v>
      </c>
      <c r="M3" s="36">
        <v>0.22666666666666666</v>
      </c>
      <c r="N3" s="36">
        <f t="shared" ref="N3:N13" si="5">D3*M3</f>
        <v>577201.36125114013</v>
      </c>
      <c r="O3" s="36">
        <v>0.17151515151515151</v>
      </c>
      <c r="P3" s="36">
        <f t="shared" ref="P3:P13" si="6">D3*O3</f>
        <v>436759.31880768092</v>
      </c>
      <c r="Q3" s="36">
        <f t="shared" ref="Q3:Q13" si="7">G3+I3+K3+M3+O3</f>
        <v>1</v>
      </c>
      <c r="R3" s="38">
        <f t="shared" ref="R3:R13" si="8">H3+J3+L3+N3+P3</f>
        <v>2546476.5937550301</v>
      </c>
    </row>
    <row r="4" spans="1:18" x14ac:dyDescent="0.2">
      <c r="A4" s="37">
        <v>44986</v>
      </c>
      <c r="B4" s="36">
        <v>19800702.489999998</v>
      </c>
      <c r="C4" s="36">
        <v>47675880.7234919</v>
      </c>
      <c r="D4" s="36">
        <v>965959.24038802402</v>
      </c>
      <c r="E4" s="36">
        <f t="shared" si="0"/>
        <v>20.498486542813229</v>
      </c>
      <c r="F4" s="36">
        <f t="shared" si="1"/>
        <v>49.355996329969976</v>
      </c>
      <c r="G4" s="36">
        <v>0.16160220994475138</v>
      </c>
      <c r="H4" s="36">
        <f t="shared" si="2"/>
        <v>156101.14796325803</v>
      </c>
      <c r="I4" s="36">
        <v>0.27140883977900554</v>
      </c>
      <c r="J4" s="36">
        <f t="shared" si="3"/>
        <v>262169.87670752313</v>
      </c>
      <c r="K4" s="36">
        <v>0.19889502762430938</v>
      </c>
      <c r="L4" s="36">
        <f t="shared" si="4"/>
        <v>192124.48980093293</v>
      </c>
      <c r="M4" s="36">
        <v>0.20511049723756905</v>
      </c>
      <c r="N4" s="36">
        <f t="shared" si="5"/>
        <v>198128.38010721208</v>
      </c>
      <c r="O4" s="36">
        <v>0.16298342541436464</v>
      </c>
      <c r="P4" s="36">
        <f t="shared" si="6"/>
        <v>157435.34580909784</v>
      </c>
      <c r="Q4" s="36">
        <f t="shared" si="7"/>
        <v>0.99999999999999989</v>
      </c>
      <c r="R4" s="38">
        <f t="shared" si="8"/>
        <v>965959.24038802413</v>
      </c>
    </row>
    <row r="5" spans="1:18" x14ac:dyDescent="0.2">
      <c r="A5" s="37">
        <v>45017</v>
      </c>
      <c r="B5" s="36">
        <v>42880500.329999998</v>
      </c>
      <c r="C5" s="36">
        <v>58040348.5017469</v>
      </c>
      <c r="D5" s="36">
        <v>2266116.1307053501</v>
      </c>
      <c r="E5" s="36">
        <f t="shared" si="0"/>
        <v>18.922463747104185</v>
      </c>
      <c r="F5" s="36">
        <f t="shared" si="1"/>
        <v>25.612256898626502</v>
      </c>
      <c r="G5" s="36">
        <v>0.22393247269116187</v>
      </c>
      <c r="H5" s="36">
        <f t="shared" si="2"/>
        <v>507456.98855417722</v>
      </c>
      <c r="I5" s="36">
        <v>0.15044687189672293</v>
      </c>
      <c r="J5" s="36">
        <f t="shared" si="3"/>
        <v>340930.08321932523</v>
      </c>
      <c r="K5" s="36">
        <v>0.21896722939424032</v>
      </c>
      <c r="L5" s="36">
        <f t="shared" si="4"/>
        <v>496205.17062614666</v>
      </c>
      <c r="M5" s="36">
        <v>0.24379344587884808</v>
      </c>
      <c r="N5" s="36">
        <f t="shared" si="5"/>
        <v>552464.26026629936</v>
      </c>
      <c r="O5" s="36">
        <v>0.16285998013902681</v>
      </c>
      <c r="P5" s="36">
        <f t="shared" si="6"/>
        <v>369059.62803940161</v>
      </c>
      <c r="Q5" s="36">
        <f t="shared" si="7"/>
        <v>1</v>
      </c>
      <c r="R5" s="38">
        <f t="shared" si="8"/>
        <v>2266116.1307053501</v>
      </c>
    </row>
    <row r="6" spans="1:18" x14ac:dyDescent="0.2">
      <c r="A6" s="37">
        <v>45047</v>
      </c>
      <c r="B6" s="36">
        <v>53978913.939999998</v>
      </c>
      <c r="C6" s="36">
        <v>54542927.316679902</v>
      </c>
      <c r="D6" s="36">
        <v>2525686.19478874</v>
      </c>
      <c r="E6" s="36">
        <f t="shared" si="0"/>
        <v>21.371979643146066</v>
      </c>
      <c r="F6" s="36">
        <f t="shared" si="1"/>
        <v>21.595290590421953</v>
      </c>
      <c r="G6" s="36">
        <v>0.17759103641456583</v>
      </c>
      <c r="H6" s="36">
        <f t="shared" si="2"/>
        <v>448539.22899049334</v>
      </c>
      <c r="I6" s="36">
        <v>0.25938375350140058</v>
      </c>
      <c r="J6" s="36">
        <f t="shared" si="3"/>
        <v>655121.96537097299</v>
      </c>
      <c r="K6" s="36">
        <v>0.20840336134453782</v>
      </c>
      <c r="L6" s="36">
        <f t="shared" si="4"/>
        <v>526361.49269546848</v>
      </c>
      <c r="M6" s="36">
        <v>0.23529411764705882</v>
      </c>
      <c r="N6" s="36">
        <f t="shared" si="5"/>
        <v>594279.10465617408</v>
      </c>
      <c r="O6" s="36">
        <v>0.11932773109243698</v>
      </c>
      <c r="P6" s="36">
        <f t="shared" si="6"/>
        <v>301384.40307563118</v>
      </c>
      <c r="Q6" s="36">
        <f t="shared" si="7"/>
        <v>1</v>
      </c>
      <c r="R6" s="38">
        <f t="shared" si="8"/>
        <v>2525686.1947887405</v>
      </c>
    </row>
    <row r="7" spans="1:18" x14ac:dyDescent="0.2">
      <c r="A7" s="37">
        <v>45078</v>
      </c>
      <c r="B7" s="36">
        <v>45129986.229999997</v>
      </c>
      <c r="C7" s="36">
        <v>53666579.441780701</v>
      </c>
      <c r="D7" s="36">
        <v>1290104.0891741801</v>
      </c>
      <c r="E7" s="36">
        <f t="shared" si="0"/>
        <v>34.981662804346705</v>
      </c>
      <c r="F7" s="36">
        <f t="shared" si="1"/>
        <v>41.598643002622907</v>
      </c>
      <c r="G7" s="36">
        <v>0.2106951871657754</v>
      </c>
      <c r="H7" s="36">
        <f t="shared" si="2"/>
        <v>271818.72253188607</v>
      </c>
      <c r="I7" s="36">
        <v>0.24064171122994651</v>
      </c>
      <c r="J7" s="36">
        <f t="shared" si="3"/>
        <v>310452.8556836262</v>
      </c>
      <c r="K7" s="36">
        <v>0.25454545454545452</v>
      </c>
      <c r="L7" s="36">
        <f t="shared" si="4"/>
        <v>328390.13178979128</v>
      </c>
      <c r="M7" s="36">
        <v>0.13368983957219252</v>
      </c>
      <c r="N7" s="36">
        <f t="shared" si="5"/>
        <v>172473.80871312568</v>
      </c>
      <c r="O7" s="36">
        <v>0.16042780748663102</v>
      </c>
      <c r="P7" s="36">
        <f t="shared" si="6"/>
        <v>206968.57045575083</v>
      </c>
      <c r="Q7" s="36">
        <f t="shared" si="7"/>
        <v>0.99999999999999989</v>
      </c>
      <c r="R7" s="38">
        <f t="shared" si="8"/>
        <v>1290104.0891741801</v>
      </c>
    </row>
    <row r="8" spans="1:18" x14ac:dyDescent="0.2">
      <c r="A8" s="37">
        <v>45108</v>
      </c>
      <c r="B8" s="36">
        <v>37523951.780000001</v>
      </c>
      <c r="C8" s="36">
        <v>53122289.044924103</v>
      </c>
      <c r="D8" s="36">
        <v>1688221.6065711901</v>
      </c>
      <c r="E8" s="36">
        <f t="shared" si="0"/>
        <v>22.226911226549134</v>
      </c>
      <c r="F8" s="36">
        <f t="shared" si="1"/>
        <v>31.466419359965705</v>
      </c>
      <c r="G8" s="36">
        <v>0.21101871101871103</v>
      </c>
      <c r="H8" s="36">
        <f t="shared" si="2"/>
        <v>356246.34733259003</v>
      </c>
      <c r="I8" s="36">
        <v>0.15072765072765074</v>
      </c>
      <c r="J8" s="36">
        <f t="shared" si="3"/>
        <v>254461.67666613573</v>
      </c>
      <c r="K8" s="36">
        <v>0.20997920997920999</v>
      </c>
      <c r="L8" s="36">
        <f t="shared" si="4"/>
        <v>354491.43921765115</v>
      </c>
      <c r="M8" s="36">
        <v>0.17047817047817049</v>
      </c>
      <c r="N8" s="36">
        <f t="shared" si="5"/>
        <v>287804.93084997422</v>
      </c>
      <c r="O8" s="36">
        <v>0.25779625779625781</v>
      </c>
      <c r="P8" s="36">
        <f t="shared" si="6"/>
        <v>435217.21250483906</v>
      </c>
      <c r="Q8" s="36">
        <f t="shared" si="7"/>
        <v>1</v>
      </c>
      <c r="R8" s="38">
        <f t="shared" si="8"/>
        <v>1688221.6065711901</v>
      </c>
    </row>
    <row r="9" spans="1:18" x14ac:dyDescent="0.2">
      <c r="A9" s="37">
        <v>45139</v>
      </c>
      <c r="B9" s="36">
        <v>19901547.949999999</v>
      </c>
      <c r="C9" s="36">
        <v>67473191.988627806</v>
      </c>
      <c r="D9" s="36">
        <v>1491846.8932993601</v>
      </c>
      <c r="E9" s="36">
        <f t="shared" si="0"/>
        <v>13.340208059813598</v>
      </c>
      <c r="F9" s="36">
        <f t="shared" si="1"/>
        <v>45.227960249596713</v>
      </c>
      <c r="G9" s="36">
        <v>0.15442846328538987</v>
      </c>
      <c r="H9" s="36">
        <f t="shared" si="2"/>
        <v>230383.62318930315</v>
      </c>
      <c r="I9" s="36">
        <v>0.15897047691143074</v>
      </c>
      <c r="J9" s="36">
        <f t="shared" si="3"/>
        <v>237159.61210663558</v>
      </c>
      <c r="K9" s="36">
        <v>0.29598788796366388</v>
      </c>
      <c r="L9" s="36">
        <f t="shared" si="4"/>
        <v>441568.61111283099</v>
      </c>
      <c r="M9" s="36">
        <v>0.21953065859197576</v>
      </c>
      <c r="N9" s="36">
        <f t="shared" si="5"/>
        <v>327506.13100440148</v>
      </c>
      <c r="O9" s="36">
        <v>0.17108251324753973</v>
      </c>
      <c r="P9" s="36">
        <f t="shared" si="6"/>
        <v>255228.91588618877</v>
      </c>
      <c r="Q9" s="36">
        <f t="shared" si="7"/>
        <v>0.99999999999999989</v>
      </c>
      <c r="R9" s="38">
        <f t="shared" si="8"/>
        <v>1491846.8932993601</v>
      </c>
    </row>
    <row r="10" spans="1:18" x14ac:dyDescent="0.2">
      <c r="A10" s="37">
        <v>45170</v>
      </c>
      <c r="B10" s="36">
        <v>21402577.420000002</v>
      </c>
      <c r="C10" s="36">
        <v>70074170.953276202</v>
      </c>
      <c r="D10" s="36">
        <v>2331438.6735941302</v>
      </c>
      <c r="E10" s="36">
        <f t="shared" si="0"/>
        <v>9.1799873024349949</v>
      </c>
      <c r="F10" s="36">
        <f t="shared" si="1"/>
        <v>30.056193090959724</v>
      </c>
      <c r="G10" s="36">
        <v>0.12598870056497175</v>
      </c>
      <c r="H10" s="36">
        <f t="shared" si="2"/>
        <v>293734.92893304577</v>
      </c>
      <c r="I10" s="36">
        <v>0.17344632768361581</v>
      </c>
      <c r="J10" s="36">
        <f t="shared" si="3"/>
        <v>404379.47615446214</v>
      </c>
      <c r="K10" s="36">
        <v>0.21807909604519773</v>
      </c>
      <c r="L10" s="36">
        <f t="shared" si="4"/>
        <v>508438.03842222271</v>
      </c>
      <c r="M10" s="36">
        <v>0.28192090395480224</v>
      </c>
      <c r="N10" s="36">
        <f t="shared" si="5"/>
        <v>657281.29837484227</v>
      </c>
      <c r="O10" s="36">
        <v>0.20056497175141244</v>
      </c>
      <c r="P10" s="36">
        <f t="shared" si="6"/>
        <v>467604.93170955719</v>
      </c>
      <c r="Q10" s="36">
        <f t="shared" si="7"/>
        <v>1</v>
      </c>
      <c r="R10" s="38">
        <f t="shared" si="8"/>
        <v>2331438.6735941302</v>
      </c>
    </row>
    <row r="11" spans="1:18" x14ac:dyDescent="0.2">
      <c r="A11" s="37">
        <v>45200</v>
      </c>
      <c r="B11" s="36">
        <v>9898262.1659999993</v>
      </c>
      <c r="C11" s="36">
        <v>61026341.247129403</v>
      </c>
      <c r="D11" s="36">
        <v>2055671.51486044</v>
      </c>
      <c r="E11" s="36">
        <f t="shared" si="0"/>
        <v>4.8150991510294849</v>
      </c>
      <c r="F11" s="36">
        <f t="shared" si="1"/>
        <v>29.68681562495285</v>
      </c>
      <c r="G11" s="36">
        <v>0.13514876449823499</v>
      </c>
      <c r="H11" s="36">
        <f t="shared" si="2"/>
        <v>277821.46544760355</v>
      </c>
      <c r="I11" s="36">
        <v>0.25063035804336864</v>
      </c>
      <c r="J11" s="36">
        <f t="shared" si="3"/>
        <v>515213.68778902607</v>
      </c>
      <c r="K11" s="36">
        <v>0.14876449823499749</v>
      </c>
      <c r="L11" s="36">
        <f t="shared" si="4"/>
        <v>305810.94144419057</v>
      </c>
      <c r="M11" s="36">
        <v>0.21583459404942007</v>
      </c>
      <c r="N11" s="36">
        <f t="shared" si="5"/>
        <v>443685.02690885949</v>
      </c>
      <c r="O11" s="36">
        <v>0.24962178517397882</v>
      </c>
      <c r="P11" s="36">
        <f t="shared" si="6"/>
        <v>513140.39327076037</v>
      </c>
      <c r="Q11" s="36">
        <f t="shared" si="7"/>
        <v>1</v>
      </c>
      <c r="R11" s="38">
        <f t="shared" si="8"/>
        <v>2055671.51486044</v>
      </c>
    </row>
    <row r="12" spans="1:18" x14ac:dyDescent="0.2">
      <c r="A12" s="37">
        <v>45231</v>
      </c>
      <c r="B12" s="36">
        <v>9122917.9240000006</v>
      </c>
      <c r="C12" s="36">
        <v>72513160.374026194</v>
      </c>
      <c r="D12" s="36">
        <v>396136.13130934502</v>
      </c>
      <c r="E12" s="36">
        <f t="shared" si="0"/>
        <v>23.029754680155293</v>
      </c>
      <c r="F12" s="36">
        <f t="shared" si="1"/>
        <v>183.05111461140677</v>
      </c>
      <c r="G12" s="36">
        <v>0.13390313390313391</v>
      </c>
      <c r="H12" s="36">
        <f t="shared" si="2"/>
        <v>53043.86943458466</v>
      </c>
      <c r="I12" s="36">
        <v>0.2603988603988604</v>
      </c>
      <c r="J12" s="36">
        <f t="shared" si="3"/>
        <v>103153.39715576677</v>
      </c>
      <c r="K12" s="36">
        <v>0.17435897435897435</v>
      </c>
      <c r="L12" s="36">
        <f t="shared" si="4"/>
        <v>69069.889561629388</v>
      </c>
      <c r="M12" s="36">
        <v>0.23646723646723647</v>
      </c>
      <c r="N12" s="36">
        <f t="shared" si="5"/>
        <v>93673.216235543121</v>
      </c>
      <c r="O12" s="36">
        <v>0.19487179487179487</v>
      </c>
      <c r="P12" s="36">
        <f t="shared" si="6"/>
        <v>77195.758921821078</v>
      </c>
      <c r="Q12" s="36">
        <f t="shared" si="7"/>
        <v>1</v>
      </c>
      <c r="R12" s="38">
        <f t="shared" si="8"/>
        <v>396136.13130934502</v>
      </c>
    </row>
    <row r="13" spans="1:18" x14ac:dyDescent="0.2">
      <c r="A13" s="37">
        <v>45261</v>
      </c>
      <c r="B13" s="36">
        <v>54287494.609999999</v>
      </c>
      <c r="C13" s="36">
        <v>59443653.080165699</v>
      </c>
      <c r="D13" s="36">
        <v>2224300.4525966202</v>
      </c>
      <c r="E13" s="36">
        <f t="shared" si="0"/>
        <v>24.40654748176015</v>
      </c>
      <c r="F13" s="36">
        <f t="shared" si="1"/>
        <v>26.724650894519186</v>
      </c>
      <c r="G13" s="36">
        <v>0.19408740359897173</v>
      </c>
      <c r="H13" s="36">
        <f t="shared" si="2"/>
        <v>431708.69966849568</v>
      </c>
      <c r="I13" s="36">
        <v>0.14524421593830333</v>
      </c>
      <c r="J13" s="36">
        <f t="shared" si="3"/>
        <v>323066.77524860937</v>
      </c>
      <c r="K13" s="36">
        <v>0.27056555269922877</v>
      </c>
      <c r="L13" s="36">
        <f t="shared" si="4"/>
        <v>601819.08132594929</v>
      </c>
      <c r="M13" s="36">
        <v>0.21272493573264781</v>
      </c>
      <c r="N13" s="36">
        <f t="shared" si="5"/>
        <v>473164.17082871543</v>
      </c>
      <c r="O13" s="36">
        <v>0.17737789203084833</v>
      </c>
      <c r="P13" s="36">
        <f t="shared" si="6"/>
        <v>394541.72552485036</v>
      </c>
      <c r="Q13" s="36">
        <f t="shared" si="7"/>
        <v>1</v>
      </c>
      <c r="R13" s="38">
        <f t="shared" si="8"/>
        <v>2224300.4525966202</v>
      </c>
    </row>
    <row r="14" spans="1:18" s="40" customFormat="1" x14ac:dyDescent="0.2">
      <c r="A14" s="39"/>
      <c r="B14" s="42">
        <f>SUM(B2:B13)</f>
        <v>411342617.81000006</v>
      </c>
      <c r="C14" s="42">
        <f>SUM(C2:C13)</f>
        <v>746839876.98584926</v>
      </c>
      <c r="D14" s="42">
        <f>SUM(D2:D13)</f>
        <v>22499999.999999959</v>
      </c>
      <c r="E14" s="39">
        <f>AVERAGE(E2:E13)</f>
        <v>19.133187002448107</v>
      </c>
      <c r="F14" s="39">
        <f>AVERAGE(F2:F13)</f>
        <v>45.097537662047962</v>
      </c>
      <c r="G14" s="39">
        <f t="shared" ref="G14" si="9">SUM(H2:H13)</f>
        <v>4210479.2321052942</v>
      </c>
      <c r="H14" s="39">
        <f>SUM(H2:H13)</f>
        <v>4210479.2321052942</v>
      </c>
      <c r="I14" s="39">
        <f>SUM(I2:I13)</f>
        <v>2.4731700697244281</v>
      </c>
      <c r="J14" s="39"/>
      <c r="K14" s="39">
        <f>SUM(K2:K13)</f>
        <v>2.5691829338356298</v>
      </c>
      <c r="L14" s="39"/>
      <c r="M14" s="39">
        <f>SUM(M2:M13)</f>
        <v>2.6175966931879038</v>
      </c>
      <c r="N14" s="39">
        <f>SUM(N2:N13)</f>
        <v>5019352.4518125653</v>
      </c>
      <c r="O14" s="39">
        <f>SUM(O2:O13)</f>
        <v>2.1617626438527764</v>
      </c>
      <c r="P14" s="39">
        <f>SUM(P2:P13)</f>
        <v>3976941.867866586</v>
      </c>
      <c r="Q14" s="39">
        <f>AVERAGE(Q2:Q13)</f>
        <v>1</v>
      </c>
      <c r="R14" s="41">
        <f>SUM(R2:R13)</f>
        <v>22499999.999999959</v>
      </c>
    </row>
    <row r="20" spans="2:7" ht="16" x14ac:dyDescent="0.2">
      <c r="B20" s="35" t="s">
        <v>147</v>
      </c>
      <c r="C20" s="35"/>
      <c r="D20" s="35"/>
      <c r="E20" s="35"/>
      <c r="F20" s="35"/>
    </row>
    <row r="21" spans="2:7" ht="16" x14ac:dyDescent="0.2">
      <c r="B21" s="33"/>
      <c r="C21" s="33"/>
      <c r="G21" s="34"/>
    </row>
    <row r="22" spans="2:7" ht="16" x14ac:dyDescent="0.2">
      <c r="B22" s="33"/>
      <c r="C22" s="33"/>
      <c r="G22" s="34"/>
    </row>
    <row r="23" spans="2:7" ht="16" x14ac:dyDescent="0.2">
      <c r="B23" s="33"/>
      <c r="C23" s="33"/>
      <c r="G23" s="34"/>
    </row>
    <row r="24" spans="2:7" ht="16" x14ac:dyDescent="0.2">
      <c r="B24" s="33"/>
      <c r="C24" s="33"/>
      <c r="G24" s="34"/>
    </row>
    <row r="25" spans="2:7" ht="16" x14ac:dyDescent="0.2">
      <c r="B25" s="33"/>
      <c r="C25" s="33"/>
      <c r="G25" s="34"/>
    </row>
    <row r="26" spans="2:7" ht="16" x14ac:dyDescent="0.2">
      <c r="B26" s="33"/>
      <c r="C26" s="33"/>
      <c r="G26" s="34"/>
    </row>
    <row r="27" spans="2:7" ht="16" x14ac:dyDescent="0.2">
      <c r="B27" s="33"/>
      <c r="C27" s="33"/>
      <c r="G27" s="34"/>
    </row>
    <row r="28" spans="2:7" ht="16" x14ac:dyDescent="0.2">
      <c r="B28" s="33"/>
      <c r="C28" s="33"/>
      <c r="G28" s="34"/>
    </row>
    <row r="29" spans="2:7" ht="16" x14ac:dyDescent="0.2">
      <c r="B29" s="33"/>
      <c r="C29" s="33"/>
      <c r="G29" s="34"/>
    </row>
    <row r="30" spans="2:7" ht="16" x14ac:dyDescent="0.2">
      <c r="B30" s="33"/>
      <c r="C30" s="33"/>
      <c r="G30" s="34"/>
    </row>
    <row r="31" spans="2:7" ht="16" x14ac:dyDescent="0.2">
      <c r="B31" s="33"/>
      <c r="C31" s="33"/>
      <c r="G31" s="34"/>
    </row>
    <row r="32" spans="2:7" ht="16" x14ac:dyDescent="0.2">
      <c r="B32" s="33"/>
      <c r="C32" s="33"/>
      <c r="G32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F5CE-C22F-9B4B-98B1-EBCD7FA336F6}">
  <dimension ref="A1:J37"/>
  <sheetViews>
    <sheetView workbookViewId="0">
      <selection activeCell="J7" sqref="J7"/>
    </sheetView>
  </sheetViews>
  <sheetFormatPr baseColWidth="10" defaultRowHeight="15" x14ac:dyDescent="0.2"/>
  <cols>
    <col min="2" max="2" width="30.1640625" bestFit="1" customWidth="1"/>
    <col min="3" max="3" width="20.6640625" bestFit="1" customWidth="1"/>
    <col min="4" max="4" width="21.1640625" bestFit="1" customWidth="1"/>
    <col min="8" max="8" width="17.33203125" customWidth="1"/>
    <col min="10" max="10" width="14.83203125" customWidth="1"/>
  </cols>
  <sheetData>
    <row r="1" spans="1:10" x14ac:dyDescent="0.2">
      <c r="A1" s="7" t="s">
        <v>54</v>
      </c>
      <c r="B1" s="7" t="s">
        <v>93</v>
      </c>
      <c r="C1" s="14" t="s">
        <v>108</v>
      </c>
      <c r="D1" t="s">
        <v>109</v>
      </c>
      <c r="G1" t="s">
        <v>50</v>
      </c>
      <c r="H1" t="s">
        <v>120</v>
      </c>
      <c r="I1" t="s">
        <v>152</v>
      </c>
    </row>
    <row r="2" spans="1:10" x14ac:dyDescent="0.2">
      <c r="A2" s="7" t="s">
        <v>56</v>
      </c>
      <c r="B2" s="12">
        <v>48238001</v>
      </c>
      <c r="C2" s="14">
        <v>1782000</v>
      </c>
      <c r="D2">
        <f>B2/C2</f>
        <v>27.06958529741863</v>
      </c>
      <c r="G2">
        <v>2020</v>
      </c>
      <c r="H2" s="13">
        <f>SUM(B2:B13)</f>
        <v>749179945</v>
      </c>
      <c r="I2" s="15">
        <v>0</v>
      </c>
    </row>
    <row r="3" spans="1:10" x14ac:dyDescent="0.2">
      <c r="A3" s="7" t="s">
        <v>57</v>
      </c>
      <c r="B3" s="12">
        <v>56370561</v>
      </c>
      <c r="C3" s="14">
        <v>2073000</v>
      </c>
      <c r="D3">
        <f t="shared" ref="D3:D37" si="0">B3/C3</f>
        <v>27.19274529667149</v>
      </c>
      <c r="G3">
        <v>2021</v>
      </c>
      <c r="H3" s="13">
        <f>SUM(B14:B25)</f>
        <v>737035777</v>
      </c>
      <c r="I3" s="15">
        <f>(H3-H2)/H3</f>
        <v>-1.6477040028410994E-2</v>
      </c>
    </row>
    <row r="4" spans="1:10" x14ac:dyDescent="0.2">
      <c r="A4" s="7" t="s">
        <v>58</v>
      </c>
      <c r="B4" s="12">
        <v>53481657</v>
      </c>
      <c r="C4" s="14">
        <v>1751000</v>
      </c>
      <c r="D4">
        <f t="shared" si="0"/>
        <v>30.543493432324386</v>
      </c>
      <c r="G4">
        <v>2022</v>
      </c>
      <c r="H4" s="13">
        <f>SUM(B26:B37)</f>
        <v>729532407</v>
      </c>
      <c r="I4" s="15">
        <f>(H4-H3)/H4</f>
        <v>-1.0285177091522954E-2</v>
      </c>
    </row>
    <row r="5" spans="1:10" x14ac:dyDescent="0.2">
      <c r="A5" s="7" t="s">
        <v>59</v>
      </c>
      <c r="B5" s="12">
        <v>57494178</v>
      </c>
      <c r="C5" s="14">
        <v>1837000</v>
      </c>
      <c r="D5">
        <f t="shared" si="0"/>
        <v>31.297864997278172</v>
      </c>
      <c r="G5">
        <v>2023</v>
      </c>
      <c r="H5" s="43">
        <v>746839876.99000001</v>
      </c>
      <c r="I5" s="15">
        <f>(H5-H4)/H5</f>
        <v>2.3174271384322119E-2</v>
      </c>
      <c r="J5" s="14">
        <f>H5-H4</f>
        <v>17307469.99000001</v>
      </c>
    </row>
    <row r="6" spans="1:10" x14ac:dyDescent="0.2">
      <c r="A6" s="7" t="s">
        <v>60</v>
      </c>
      <c r="B6" s="12">
        <v>60790327</v>
      </c>
      <c r="C6" s="14">
        <v>1881000</v>
      </c>
      <c r="D6">
        <f t="shared" si="0"/>
        <v>32.318089845826691</v>
      </c>
    </row>
    <row r="7" spans="1:10" x14ac:dyDescent="0.2">
      <c r="A7" s="7" t="s">
        <v>61</v>
      </c>
      <c r="B7" s="12">
        <v>62972714</v>
      </c>
      <c r="C7" s="14">
        <v>1729000</v>
      </c>
      <c r="D7">
        <f t="shared" si="0"/>
        <v>36.421465587044537</v>
      </c>
      <c r="J7">
        <v>17307469.989999998</v>
      </c>
    </row>
    <row r="8" spans="1:10" x14ac:dyDescent="0.2">
      <c r="A8" s="7" t="s">
        <v>62</v>
      </c>
      <c r="B8" s="12">
        <v>76680093</v>
      </c>
      <c r="C8" s="14">
        <v>2048000</v>
      </c>
      <c r="D8">
        <f t="shared" si="0"/>
        <v>37.441451660156247</v>
      </c>
    </row>
    <row r="9" spans="1:10" x14ac:dyDescent="0.2">
      <c r="A9" s="7" t="s">
        <v>63</v>
      </c>
      <c r="B9" s="12">
        <v>67691705</v>
      </c>
      <c r="C9" s="14">
        <v>1990000</v>
      </c>
      <c r="D9">
        <f t="shared" si="0"/>
        <v>34.01593216080402</v>
      </c>
    </row>
    <row r="10" spans="1:10" x14ac:dyDescent="0.2">
      <c r="A10" s="7" t="s">
        <v>64</v>
      </c>
      <c r="B10" s="12">
        <v>61486792</v>
      </c>
      <c r="C10" s="14">
        <v>1866000</v>
      </c>
      <c r="D10">
        <f t="shared" si="0"/>
        <v>32.951121114683815</v>
      </c>
    </row>
    <row r="11" spans="1:10" x14ac:dyDescent="0.2">
      <c r="A11" s="7" t="s">
        <v>65</v>
      </c>
      <c r="B11" s="12">
        <v>57968485</v>
      </c>
      <c r="C11" s="14">
        <v>2009000</v>
      </c>
      <c r="D11">
        <f t="shared" si="0"/>
        <v>28.854397710303633</v>
      </c>
    </row>
    <row r="12" spans="1:10" x14ac:dyDescent="0.2">
      <c r="A12" s="7" t="s">
        <v>66</v>
      </c>
      <c r="B12" s="12">
        <v>66396072</v>
      </c>
      <c r="C12" s="14">
        <v>1530000</v>
      </c>
      <c r="D12">
        <f t="shared" si="0"/>
        <v>43.396125490196077</v>
      </c>
    </row>
    <row r="13" spans="1:10" x14ac:dyDescent="0.2">
      <c r="A13" s="7" t="s">
        <v>67</v>
      </c>
      <c r="B13" s="12">
        <v>79609360</v>
      </c>
      <c r="C13" s="14">
        <v>2000000</v>
      </c>
      <c r="D13">
        <f t="shared" si="0"/>
        <v>39.804679999999998</v>
      </c>
    </row>
    <row r="14" spans="1:10" x14ac:dyDescent="0.2">
      <c r="A14" s="7" t="s">
        <v>68</v>
      </c>
      <c r="B14" s="12">
        <v>50861832</v>
      </c>
      <c r="C14" s="14">
        <v>2043000</v>
      </c>
      <c r="D14">
        <f t="shared" si="0"/>
        <v>24.895659324522761</v>
      </c>
    </row>
    <row r="15" spans="1:10" x14ac:dyDescent="0.2">
      <c r="A15" s="7" t="s">
        <v>69</v>
      </c>
      <c r="B15" s="12">
        <v>52226263</v>
      </c>
      <c r="C15" s="14">
        <v>1552000</v>
      </c>
      <c r="D15">
        <f t="shared" si="0"/>
        <v>33.650942654639174</v>
      </c>
    </row>
    <row r="16" spans="1:10" x14ac:dyDescent="0.2">
      <c r="A16" s="7" t="s">
        <v>70</v>
      </c>
      <c r="B16" s="12">
        <v>52400059</v>
      </c>
      <c r="C16" s="14">
        <v>1807000</v>
      </c>
      <c r="D16">
        <f t="shared" si="0"/>
        <v>28.998372440509129</v>
      </c>
    </row>
    <row r="17" spans="1:4" x14ac:dyDescent="0.2">
      <c r="A17" s="7" t="s">
        <v>71</v>
      </c>
      <c r="B17" s="12">
        <v>61158521</v>
      </c>
      <c r="C17" s="14">
        <v>1968000</v>
      </c>
      <c r="D17">
        <f t="shared" si="0"/>
        <v>31.076484247967478</v>
      </c>
    </row>
    <row r="18" spans="1:4" x14ac:dyDescent="0.2">
      <c r="A18" s="7" t="s">
        <v>72</v>
      </c>
      <c r="B18" s="12">
        <v>62908629</v>
      </c>
      <c r="C18" s="14">
        <v>1892000</v>
      </c>
      <c r="D18">
        <f t="shared" si="0"/>
        <v>33.249803911205071</v>
      </c>
    </row>
    <row r="19" spans="1:4" x14ac:dyDescent="0.2">
      <c r="A19" s="7" t="s">
        <v>73</v>
      </c>
      <c r="B19" s="12">
        <v>62363281</v>
      </c>
      <c r="C19" s="14">
        <v>1819000</v>
      </c>
      <c r="D19">
        <f t="shared" si="0"/>
        <v>34.284376580538755</v>
      </c>
    </row>
    <row r="20" spans="1:4" x14ac:dyDescent="0.2">
      <c r="A20" s="7" t="s">
        <v>74</v>
      </c>
      <c r="B20" s="12">
        <v>70968643</v>
      </c>
      <c r="C20" s="14">
        <v>1593000</v>
      </c>
      <c r="D20">
        <f t="shared" si="0"/>
        <v>44.550309478970497</v>
      </c>
    </row>
    <row r="21" spans="1:4" x14ac:dyDescent="0.2">
      <c r="A21" s="7" t="s">
        <v>75</v>
      </c>
      <c r="B21" s="12">
        <v>63947637</v>
      </c>
      <c r="C21" s="14">
        <v>1679000</v>
      </c>
      <c r="D21">
        <f t="shared" si="0"/>
        <v>38.086740321620013</v>
      </c>
    </row>
    <row r="22" spans="1:4" x14ac:dyDescent="0.2">
      <c r="A22" s="7" t="s">
        <v>76</v>
      </c>
      <c r="B22" s="12">
        <v>55780619</v>
      </c>
      <c r="C22" s="14">
        <v>1432000</v>
      </c>
      <c r="D22">
        <f t="shared" si="0"/>
        <v>38.952946229050276</v>
      </c>
    </row>
    <row r="23" spans="1:4" x14ac:dyDescent="0.2">
      <c r="A23" s="7" t="s">
        <v>77</v>
      </c>
      <c r="B23" s="12">
        <v>55158967</v>
      </c>
      <c r="C23" s="14">
        <v>1669000</v>
      </c>
      <c r="D23">
        <f t="shared" si="0"/>
        <v>33.049111443978433</v>
      </c>
    </row>
    <row r="24" spans="1:4" x14ac:dyDescent="0.2">
      <c r="A24" s="7" t="s">
        <v>78</v>
      </c>
      <c r="B24" s="12">
        <v>73413016</v>
      </c>
      <c r="C24" s="14">
        <v>1946000</v>
      </c>
      <c r="D24">
        <f t="shared" si="0"/>
        <v>37.72508530318602</v>
      </c>
    </row>
    <row r="25" spans="1:4" x14ac:dyDescent="0.2">
      <c r="A25" s="7" t="s">
        <v>79</v>
      </c>
      <c r="B25" s="12">
        <v>75848310</v>
      </c>
      <c r="C25" s="14">
        <v>1817000</v>
      </c>
      <c r="D25">
        <f t="shared" si="0"/>
        <v>41.743703907539903</v>
      </c>
    </row>
    <row r="26" spans="1:4" x14ac:dyDescent="0.2">
      <c r="A26" s="7" t="s">
        <v>80</v>
      </c>
      <c r="B26" s="12">
        <v>47675899</v>
      </c>
      <c r="C26" s="14">
        <v>1635000</v>
      </c>
      <c r="D26">
        <f t="shared" si="0"/>
        <v>29.15957125382263</v>
      </c>
    </row>
    <row r="27" spans="1:4" x14ac:dyDescent="0.2">
      <c r="A27" s="7" t="s">
        <v>81</v>
      </c>
      <c r="B27" s="12">
        <v>49449361</v>
      </c>
      <c r="C27" s="14">
        <v>1650000</v>
      </c>
      <c r="D27">
        <f t="shared" si="0"/>
        <v>29.969309696969695</v>
      </c>
    </row>
    <row r="28" spans="1:4" x14ac:dyDescent="0.2">
      <c r="A28" s="7" t="s">
        <v>82</v>
      </c>
      <c r="B28" s="12">
        <v>51055995</v>
      </c>
      <c r="C28" s="14">
        <v>1448000</v>
      </c>
      <c r="D28">
        <f t="shared" si="0"/>
        <v>35.259665055248618</v>
      </c>
    </row>
    <row r="29" spans="1:4" x14ac:dyDescent="0.2">
      <c r="A29" s="7" t="s">
        <v>83</v>
      </c>
      <c r="B29" s="12">
        <v>58689504</v>
      </c>
      <c r="C29" s="14">
        <v>2014000</v>
      </c>
      <c r="D29">
        <f t="shared" si="0"/>
        <v>29.140766633565043</v>
      </c>
    </row>
    <row r="30" spans="1:4" x14ac:dyDescent="0.2">
      <c r="A30" s="7" t="s">
        <v>84</v>
      </c>
      <c r="B30" s="12">
        <v>60156222</v>
      </c>
      <c r="C30" s="14">
        <v>1785000</v>
      </c>
      <c r="D30">
        <f t="shared" si="0"/>
        <v>33.700964705882356</v>
      </c>
    </row>
    <row r="31" spans="1:4" x14ac:dyDescent="0.2">
      <c r="A31" s="7" t="s">
        <v>85</v>
      </c>
      <c r="B31" s="12">
        <v>67942705</v>
      </c>
      <c r="C31" s="14">
        <v>1870000</v>
      </c>
      <c r="D31">
        <f t="shared" si="0"/>
        <v>36.332997326203206</v>
      </c>
    </row>
    <row r="32" spans="1:4" x14ac:dyDescent="0.2">
      <c r="A32" s="7" t="s">
        <v>86</v>
      </c>
      <c r="B32" s="12">
        <v>77061873</v>
      </c>
      <c r="C32" s="14">
        <v>1924000</v>
      </c>
      <c r="D32">
        <f t="shared" si="0"/>
        <v>40.052948544698545</v>
      </c>
    </row>
    <row r="33" spans="1:4" x14ac:dyDescent="0.2">
      <c r="A33" s="7" t="s">
        <v>87</v>
      </c>
      <c r="B33" s="12">
        <v>59491330</v>
      </c>
      <c r="C33" s="14">
        <v>1321000</v>
      </c>
      <c r="D33">
        <f t="shared" si="0"/>
        <v>45.035071915215745</v>
      </c>
    </row>
    <row r="34" spans="1:4" x14ac:dyDescent="0.2">
      <c r="A34" s="7" t="s">
        <v>88</v>
      </c>
      <c r="B34" s="12">
        <v>61761946</v>
      </c>
      <c r="C34" s="14">
        <v>1770000</v>
      </c>
      <c r="D34">
        <f t="shared" si="0"/>
        <v>34.893754802259885</v>
      </c>
    </row>
    <row r="35" spans="1:4" x14ac:dyDescent="0.2">
      <c r="A35" s="7" t="s">
        <v>89</v>
      </c>
      <c r="B35" s="12">
        <v>56288727</v>
      </c>
      <c r="C35" s="14">
        <v>1983000</v>
      </c>
      <c r="D35">
        <f t="shared" si="0"/>
        <v>28.385641452344931</v>
      </c>
    </row>
    <row r="36" spans="1:4" x14ac:dyDescent="0.2">
      <c r="A36" s="7" t="s">
        <v>90</v>
      </c>
      <c r="B36" s="12">
        <v>68837779</v>
      </c>
      <c r="C36" s="14">
        <v>1755000</v>
      </c>
      <c r="D36">
        <f t="shared" si="0"/>
        <v>39.223805698005698</v>
      </c>
    </row>
    <row r="37" spans="1:4" x14ac:dyDescent="0.2">
      <c r="A37" s="7" t="s">
        <v>91</v>
      </c>
      <c r="B37" s="12">
        <v>71121066</v>
      </c>
      <c r="C37" s="14">
        <v>1556000</v>
      </c>
      <c r="D37">
        <f t="shared" si="0"/>
        <v>45.707625964010283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0D07-9D30-5D4D-A7DB-1D1D0FA65A73}">
  <dimension ref="A1:H37"/>
  <sheetViews>
    <sheetView workbookViewId="0">
      <selection activeCell="H4" sqref="H4"/>
    </sheetView>
  </sheetViews>
  <sheetFormatPr baseColWidth="10" defaultRowHeight="15" x14ac:dyDescent="0.2"/>
  <cols>
    <col min="2" max="2" width="30.1640625" bestFit="1" customWidth="1"/>
    <col min="3" max="3" width="36.33203125" bestFit="1" customWidth="1"/>
    <col min="5" max="5" width="20.6640625" bestFit="1" customWidth="1"/>
  </cols>
  <sheetData>
    <row r="1" spans="1:8" x14ac:dyDescent="0.2">
      <c r="A1" s="7" t="s">
        <v>54</v>
      </c>
      <c r="B1" s="7" t="s">
        <v>93</v>
      </c>
      <c r="C1" t="s">
        <v>92</v>
      </c>
      <c r="D1" t="s">
        <v>94</v>
      </c>
      <c r="E1" s="14" t="s">
        <v>108</v>
      </c>
    </row>
    <row r="2" spans="1:8" x14ac:dyDescent="0.2">
      <c r="A2" s="7" t="s">
        <v>56</v>
      </c>
      <c r="B2" s="12">
        <v>48238001</v>
      </c>
      <c r="C2" s="14">
        <v>48238001</v>
      </c>
      <c r="D2" s="13">
        <f>B2-C2</f>
        <v>0</v>
      </c>
      <c r="E2" s="14">
        <v>1782000</v>
      </c>
    </row>
    <row r="3" spans="1:8" x14ac:dyDescent="0.2">
      <c r="A3" s="7" t="s">
        <v>57</v>
      </c>
      <c r="B3" s="12">
        <v>56370561</v>
      </c>
      <c r="C3" s="14">
        <v>56370561</v>
      </c>
      <c r="D3" s="13">
        <f t="shared" ref="D3:D37" si="0">B3-C3</f>
        <v>0</v>
      </c>
      <c r="E3" s="14">
        <v>2073000</v>
      </c>
      <c r="H3" t="s">
        <v>150</v>
      </c>
    </row>
    <row r="4" spans="1:8" x14ac:dyDescent="0.2">
      <c r="A4" s="7" t="s">
        <v>58</v>
      </c>
      <c r="B4" s="12">
        <v>53481657</v>
      </c>
      <c r="C4" s="14">
        <v>53481657</v>
      </c>
      <c r="D4" s="13">
        <f t="shared" si="0"/>
        <v>0</v>
      </c>
      <c r="E4" s="14">
        <v>1751000</v>
      </c>
    </row>
    <row r="5" spans="1:8" x14ac:dyDescent="0.2">
      <c r="A5" s="7" t="s">
        <v>59</v>
      </c>
      <c r="B5" s="12">
        <v>57494178</v>
      </c>
      <c r="C5" s="14">
        <v>57494178</v>
      </c>
      <c r="D5" s="13">
        <f t="shared" si="0"/>
        <v>0</v>
      </c>
      <c r="E5" s="14">
        <v>1837000</v>
      </c>
    </row>
    <row r="6" spans="1:8" x14ac:dyDescent="0.2">
      <c r="A6" s="7" t="s">
        <v>60</v>
      </c>
      <c r="B6" s="12">
        <v>60790327</v>
      </c>
      <c r="C6" s="14">
        <v>60790327</v>
      </c>
      <c r="D6" s="13">
        <f t="shared" si="0"/>
        <v>0</v>
      </c>
      <c r="E6" s="14">
        <v>1881000</v>
      </c>
    </row>
    <row r="7" spans="1:8" x14ac:dyDescent="0.2">
      <c r="A7" s="7" t="s">
        <v>61</v>
      </c>
      <c r="B7" s="12">
        <v>62972714</v>
      </c>
      <c r="C7" s="14">
        <v>62972714</v>
      </c>
      <c r="D7" s="13">
        <f t="shared" si="0"/>
        <v>0</v>
      </c>
      <c r="E7" s="14">
        <v>1729000</v>
      </c>
    </row>
    <row r="8" spans="1:8" x14ac:dyDescent="0.2">
      <c r="A8" s="7" t="s">
        <v>62</v>
      </c>
      <c r="B8" s="12">
        <v>76680093</v>
      </c>
      <c r="C8" s="14">
        <v>76680093</v>
      </c>
      <c r="D8" s="13">
        <f t="shared" si="0"/>
        <v>0</v>
      </c>
      <c r="E8" s="14">
        <v>2048000</v>
      </c>
    </row>
    <row r="9" spans="1:8" x14ac:dyDescent="0.2">
      <c r="A9" s="7" t="s">
        <v>63</v>
      </c>
      <c r="B9" s="12">
        <v>67691705</v>
      </c>
      <c r="C9" s="14">
        <v>67691705</v>
      </c>
      <c r="D9" s="13">
        <f t="shared" si="0"/>
        <v>0</v>
      </c>
      <c r="E9" s="14">
        <v>1990000</v>
      </c>
    </row>
    <row r="10" spans="1:8" x14ac:dyDescent="0.2">
      <c r="A10" s="7" t="s">
        <v>64</v>
      </c>
      <c r="B10" s="12">
        <v>61486792</v>
      </c>
      <c r="C10" s="14">
        <v>61486792</v>
      </c>
      <c r="D10" s="13">
        <f t="shared" si="0"/>
        <v>0</v>
      </c>
      <c r="E10" s="14">
        <v>1866000</v>
      </c>
    </row>
    <row r="11" spans="1:8" x14ac:dyDescent="0.2">
      <c r="A11" s="7" t="s">
        <v>65</v>
      </c>
      <c r="B11" s="12">
        <v>57968485</v>
      </c>
      <c r="C11" s="14">
        <v>57968485</v>
      </c>
      <c r="D11" s="13">
        <f t="shared" si="0"/>
        <v>0</v>
      </c>
      <c r="E11" s="14">
        <v>2009000</v>
      </c>
    </row>
    <row r="12" spans="1:8" x14ac:dyDescent="0.2">
      <c r="A12" s="7" t="s">
        <v>66</v>
      </c>
      <c r="B12" s="12">
        <v>66396072</v>
      </c>
      <c r="C12" s="14">
        <v>66396072</v>
      </c>
      <c r="D12" s="13">
        <f t="shared" si="0"/>
        <v>0</v>
      </c>
      <c r="E12" s="14">
        <v>1530000</v>
      </c>
    </row>
    <row r="13" spans="1:8" x14ac:dyDescent="0.2">
      <c r="A13" s="7" t="s">
        <v>67</v>
      </c>
      <c r="B13" s="12">
        <v>79609360</v>
      </c>
      <c r="C13" s="14">
        <v>79609360</v>
      </c>
      <c r="D13" s="13">
        <f t="shared" si="0"/>
        <v>0</v>
      </c>
      <c r="E13" s="14">
        <v>2000000</v>
      </c>
    </row>
    <row r="14" spans="1:8" x14ac:dyDescent="0.2">
      <c r="A14" s="7" t="s">
        <v>68</v>
      </c>
      <c r="B14" s="12">
        <v>50861832</v>
      </c>
      <c r="C14" s="14">
        <v>50861832</v>
      </c>
      <c r="D14" s="13">
        <f t="shared" si="0"/>
        <v>0</v>
      </c>
      <c r="E14" s="14">
        <v>2043000</v>
      </c>
    </row>
    <row r="15" spans="1:8" x14ac:dyDescent="0.2">
      <c r="A15" s="7" t="s">
        <v>69</v>
      </c>
      <c r="B15" s="12">
        <v>52226263</v>
      </c>
      <c r="C15" s="14">
        <v>52226263</v>
      </c>
      <c r="D15" s="13">
        <f t="shared" si="0"/>
        <v>0</v>
      </c>
      <c r="E15" s="14">
        <v>1552000</v>
      </c>
    </row>
    <row r="16" spans="1:8" x14ac:dyDescent="0.2">
      <c r="A16" s="7" t="s">
        <v>70</v>
      </c>
      <c r="B16" s="12">
        <v>52400059</v>
      </c>
      <c r="C16" s="14">
        <v>52400059</v>
      </c>
      <c r="D16" s="13">
        <f t="shared" si="0"/>
        <v>0</v>
      </c>
      <c r="E16" s="14">
        <v>1807000</v>
      </c>
    </row>
    <row r="17" spans="1:5" x14ac:dyDescent="0.2">
      <c r="A17" s="7" t="s">
        <v>71</v>
      </c>
      <c r="B17" s="12">
        <v>61158521</v>
      </c>
      <c r="C17" s="14">
        <v>61158521</v>
      </c>
      <c r="D17" s="13">
        <f t="shared" si="0"/>
        <v>0</v>
      </c>
      <c r="E17" s="14">
        <v>1968000</v>
      </c>
    </row>
    <row r="18" spans="1:5" x14ac:dyDescent="0.2">
      <c r="A18" s="7" t="s">
        <v>72</v>
      </c>
      <c r="B18" s="12">
        <v>62908629</v>
      </c>
      <c r="C18" s="14">
        <v>62908629</v>
      </c>
      <c r="D18" s="13">
        <f t="shared" si="0"/>
        <v>0</v>
      </c>
      <c r="E18" s="14">
        <v>1892000</v>
      </c>
    </row>
    <row r="19" spans="1:5" x14ac:dyDescent="0.2">
      <c r="A19" s="7" t="s">
        <v>73</v>
      </c>
      <c r="B19" s="12">
        <v>62363281</v>
      </c>
      <c r="C19" s="14">
        <v>62363281</v>
      </c>
      <c r="D19" s="13">
        <f t="shared" si="0"/>
        <v>0</v>
      </c>
      <c r="E19" s="14">
        <v>1819000</v>
      </c>
    </row>
    <row r="20" spans="1:5" x14ac:dyDescent="0.2">
      <c r="A20" s="7" t="s">
        <v>74</v>
      </c>
      <c r="B20" s="12">
        <v>70968643</v>
      </c>
      <c r="C20" s="14">
        <v>70968643</v>
      </c>
      <c r="D20" s="13">
        <f t="shared" si="0"/>
        <v>0</v>
      </c>
      <c r="E20" s="14">
        <v>1593000</v>
      </c>
    </row>
    <row r="21" spans="1:5" x14ac:dyDescent="0.2">
      <c r="A21" s="7" t="s">
        <v>75</v>
      </c>
      <c r="B21" s="12">
        <v>63947637</v>
      </c>
      <c r="C21" s="14">
        <v>63947637</v>
      </c>
      <c r="D21" s="13">
        <f t="shared" si="0"/>
        <v>0</v>
      </c>
      <c r="E21" s="14">
        <v>1679000</v>
      </c>
    </row>
    <row r="22" spans="1:5" x14ac:dyDescent="0.2">
      <c r="A22" s="7" t="s">
        <v>76</v>
      </c>
      <c r="B22" s="12">
        <v>55780619</v>
      </c>
      <c r="C22" s="14">
        <v>55780619</v>
      </c>
      <c r="D22" s="13">
        <f t="shared" si="0"/>
        <v>0</v>
      </c>
      <c r="E22" s="14">
        <v>1432000</v>
      </c>
    </row>
    <row r="23" spans="1:5" x14ac:dyDescent="0.2">
      <c r="A23" s="7" t="s">
        <v>77</v>
      </c>
      <c r="B23" s="12">
        <v>55158967</v>
      </c>
      <c r="C23" s="14">
        <v>55158967</v>
      </c>
      <c r="D23" s="13">
        <f t="shared" si="0"/>
        <v>0</v>
      </c>
      <c r="E23" s="14">
        <v>1669000</v>
      </c>
    </row>
    <row r="24" spans="1:5" x14ac:dyDescent="0.2">
      <c r="A24" s="7" t="s">
        <v>78</v>
      </c>
      <c r="B24" s="12">
        <v>73413016</v>
      </c>
      <c r="C24" s="14">
        <v>73413016</v>
      </c>
      <c r="D24" s="13">
        <f t="shared" si="0"/>
        <v>0</v>
      </c>
      <c r="E24" s="14">
        <v>1946000</v>
      </c>
    </row>
    <row r="25" spans="1:5" x14ac:dyDescent="0.2">
      <c r="A25" s="7" t="s">
        <v>79</v>
      </c>
      <c r="B25" s="12">
        <v>75848310</v>
      </c>
      <c r="C25" s="14">
        <v>75848310</v>
      </c>
      <c r="D25" s="13">
        <f t="shared" si="0"/>
        <v>0</v>
      </c>
      <c r="E25" s="14">
        <v>1817000</v>
      </c>
    </row>
    <row r="26" spans="1:5" x14ac:dyDescent="0.2">
      <c r="A26" s="7" t="s">
        <v>80</v>
      </c>
      <c r="B26" s="12">
        <v>47675899</v>
      </c>
      <c r="C26" s="14">
        <v>47675899</v>
      </c>
      <c r="D26" s="13">
        <f t="shared" si="0"/>
        <v>0</v>
      </c>
      <c r="E26" s="14">
        <v>1635000</v>
      </c>
    </row>
    <row r="27" spans="1:5" x14ac:dyDescent="0.2">
      <c r="A27" s="7" t="s">
        <v>81</v>
      </c>
      <c r="B27" s="12">
        <v>49449361</v>
      </c>
      <c r="C27" s="14">
        <v>49449361</v>
      </c>
      <c r="D27" s="13">
        <f t="shared" si="0"/>
        <v>0</v>
      </c>
      <c r="E27" s="14">
        <v>1650000</v>
      </c>
    </row>
    <row r="28" spans="1:5" x14ac:dyDescent="0.2">
      <c r="A28" s="7" t="s">
        <v>82</v>
      </c>
      <c r="B28" s="12">
        <v>51055995</v>
      </c>
      <c r="C28" s="14">
        <v>51055995</v>
      </c>
      <c r="D28" s="13">
        <f t="shared" si="0"/>
        <v>0</v>
      </c>
      <c r="E28" s="14">
        <v>1448000</v>
      </c>
    </row>
    <row r="29" spans="1:5" x14ac:dyDescent="0.2">
      <c r="A29" s="7" t="s">
        <v>83</v>
      </c>
      <c r="B29" s="12">
        <v>58689504</v>
      </c>
      <c r="C29" s="14">
        <v>58689504</v>
      </c>
      <c r="D29" s="13">
        <f t="shared" si="0"/>
        <v>0</v>
      </c>
      <c r="E29" s="14">
        <v>2014000</v>
      </c>
    </row>
    <row r="30" spans="1:5" x14ac:dyDescent="0.2">
      <c r="A30" s="7" t="s">
        <v>84</v>
      </c>
      <c r="B30" s="12">
        <v>60156222</v>
      </c>
      <c r="C30" s="14">
        <v>60156222</v>
      </c>
      <c r="D30" s="13">
        <f t="shared" si="0"/>
        <v>0</v>
      </c>
      <c r="E30" s="14">
        <v>1785000</v>
      </c>
    </row>
    <row r="31" spans="1:5" x14ac:dyDescent="0.2">
      <c r="A31" s="7" t="s">
        <v>85</v>
      </c>
      <c r="B31" s="12">
        <v>67942705</v>
      </c>
      <c r="C31" s="14">
        <v>67942705</v>
      </c>
      <c r="D31" s="13">
        <f t="shared" si="0"/>
        <v>0</v>
      </c>
      <c r="E31" s="14">
        <v>1870000</v>
      </c>
    </row>
    <row r="32" spans="1:5" x14ac:dyDescent="0.2">
      <c r="A32" s="7" t="s">
        <v>86</v>
      </c>
      <c r="B32" s="12">
        <v>77061873</v>
      </c>
      <c r="C32" s="14">
        <v>77061873</v>
      </c>
      <c r="D32" s="13">
        <f t="shared" si="0"/>
        <v>0</v>
      </c>
      <c r="E32" s="14">
        <v>1924000</v>
      </c>
    </row>
    <row r="33" spans="1:5" x14ac:dyDescent="0.2">
      <c r="A33" s="7" t="s">
        <v>87</v>
      </c>
      <c r="B33" s="12">
        <v>59491330</v>
      </c>
      <c r="C33" s="14">
        <v>59491330</v>
      </c>
      <c r="D33" s="13">
        <f t="shared" si="0"/>
        <v>0</v>
      </c>
      <c r="E33" s="14">
        <v>1321000</v>
      </c>
    </row>
    <row r="34" spans="1:5" x14ac:dyDescent="0.2">
      <c r="A34" s="7" t="s">
        <v>88</v>
      </c>
      <c r="B34" s="12">
        <v>61761946</v>
      </c>
      <c r="C34" s="14">
        <v>61761946</v>
      </c>
      <c r="D34" s="13">
        <f t="shared" si="0"/>
        <v>0</v>
      </c>
      <c r="E34" s="14">
        <v>1770000</v>
      </c>
    </row>
    <row r="35" spans="1:5" x14ac:dyDescent="0.2">
      <c r="A35" s="7" t="s">
        <v>89</v>
      </c>
      <c r="B35" s="12">
        <v>56288727</v>
      </c>
      <c r="C35" s="14">
        <v>56288727</v>
      </c>
      <c r="D35" s="13">
        <f t="shared" si="0"/>
        <v>0</v>
      </c>
      <c r="E35" s="14">
        <v>1983000</v>
      </c>
    </row>
    <row r="36" spans="1:5" x14ac:dyDescent="0.2">
      <c r="A36" s="7" t="s">
        <v>90</v>
      </c>
      <c r="B36" s="12">
        <v>68837779</v>
      </c>
      <c r="C36" s="14">
        <v>68837779</v>
      </c>
      <c r="D36" s="13">
        <f t="shared" si="0"/>
        <v>0</v>
      </c>
      <c r="E36" s="14">
        <v>1755000</v>
      </c>
    </row>
    <row r="37" spans="1:5" x14ac:dyDescent="0.2">
      <c r="A37" s="7" t="s">
        <v>91</v>
      </c>
      <c r="B37" s="12">
        <v>71121066</v>
      </c>
      <c r="C37" s="14">
        <v>71121066</v>
      </c>
      <c r="D37" s="13">
        <f t="shared" si="0"/>
        <v>0</v>
      </c>
      <c r="E37" s="14">
        <v>1556000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7623-189A-E545-ACC6-322828D71327}">
  <dimension ref="A1:K37"/>
  <sheetViews>
    <sheetView workbookViewId="0">
      <selection activeCell="H5" sqref="H5"/>
    </sheetView>
  </sheetViews>
  <sheetFormatPr baseColWidth="10" defaultColWidth="11.5" defaultRowHeight="15" x14ac:dyDescent="0.2"/>
  <cols>
    <col min="1" max="1" width="23.6640625" style="2" customWidth="1"/>
    <col min="2" max="9" width="23.6640625" style="6" customWidth="1"/>
    <col min="10" max="10" width="23.33203125" style="6" customWidth="1"/>
    <col min="11" max="11" width="19.5" customWidth="1"/>
  </cols>
  <sheetData>
    <row r="1" spans="1:11" x14ac:dyDescent="0.2">
      <c r="A1" s="1" t="s">
        <v>0</v>
      </c>
      <c r="B1" s="5" t="s">
        <v>46</v>
      </c>
      <c r="C1" s="5" t="s">
        <v>95</v>
      </c>
      <c r="D1" s="5" t="s">
        <v>47</v>
      </c>
      <c r="E1" s="5" t="s">
        <v>96</v>
      </c>
      <c r="F1" s="5" t="s">
        <v>48</v>
      </c>
      <c r="G1" s="5" t="s">
        <v>97</v>
      </c>
      <c r="H1" s="5" t="s">
        <v>52</v>
      </c>
      <c r="I1" s="5" t="s">
        <v>98</v>
      </c>
      <c r="J1" s="5" t="s">
        <v>49</v>
      </c>
    </row>
    <row r="2" spans="1:11" x14ac:dyDescent="0.2">
      <c r="A2" s="1" t="s">
        <v>5</v>
      </c>
      <c r="B2" s="6">
        <v>61161027</v>
      </c>
      <c r="C2" s="15">
        <f>B2/J2</f>
        <v>0.29156200869903265</v>
      </c>
      <c r="D2" s="6">
        <v>59398431</v>
      </c>
      <c r="E2" s="15">
        <f>D2/J2</f>
        <v>0.28315950050889255</v>
      </c>
      <c r="F2" s="6">
        <v>40972762</v>
      </c>
      <c r="G2" s="15">
        <f>F2/J2</f>
        <v>0.1953221091376931</v>
      </c>
      <c r="H2" s="6">
        <f t="shared" ref="H2:H37" si="0">J2-(B2+D2+F2)</f>
        <v>48238001</v>
      </c>
      <c r="I2" s="15">
        <f>H2/J2</f>
        <v>0.22995638165438173</v>
      </c>
      <c r="J2" s="6">
        <v>209770221</v>
      </c>
      <c r="K2" s="11"/>
    </row>
    <row r="3" spans="1:11" x14ac:dyDescent="0.2">
      <c r="A3" s="1" t="s">
        <v>11</v>
      </c>
      <c r="B3" s="6">
        <v>48938501</v>
      </c>
      <c r="C3" s="15">
        <f t="shared" ref="C3:C37" si="1">B3/J3</f>
        <v>0.23528698087835195</v>
      </c>
      <c r="D3" s="6">
        <v>46329424</v>
      </c>
      <c r="E3" s="15">
        <f t="shared" ref="E3:E37" si="2">D3/J3</f>
        <v>0.22274303617908239</v>
      </c>
      <c r="F3" s="6">
        <v>56356452</v>
      </c>
      <c r="G3" s="15">
        <f t="shared" ref="G3:G37" si="3">F3/J3</f>
        <v>0.27095107478048336</v>
      </c>
      <c r="H3" s="6">
        <f t="shared" si="0"/>
        <v>56370561</v>
      </c>
      <c r="I3" s="15">
        <f t="shared" ref="I3:I37" si="4">H3/J3</f>
        <v>0.27101890816208229</v>
      </c>
      <c r="J3" s="6">
        <v>207994938</v>
      </c>
    </row>
    <row r="4" spans="1:11" x14ac:dyDescent="0.2">
      <c r="A4" s="1" t="s">
        <v>12</v>
      </c>
      <c r="B4" s="6">
        <v>68395755</v>
      </c>
      <c r="C4" s="15">
        <f t="shared" si="1"/>
        <v>0.29495486427490919</v>
      </c>
      <c r="D4" s="6">
        <v>65063805</v>
      </c>
      <c r="E4" s="15">
        <f t="shared" si="2"/>
        <v>0.28058591900892327</v>
      </c>
      <c r="F4" s="6">
        <v>44944279</v>
      </c>
      <c r="G4" s="15">
        <f t="shared" si="3"/>
        <v>0.19382100120656101</v>
      </c>
      <c r="H4" s="6">
        <f t="shared" si="0"/>
        <v>53481657</v>
      </c>
      <c r="I4" s="15">
        <f t="shared" si="4"/>
        <v>0.2306382155096065</v>
      </c>
      <c r="J4" s="6">
        <v>231885496</v>
      </c>
    </row>
    <row r="5" spans="1:11" x14ac:dyDescent="0.2">
      <c r="A5" s="1" t="s">
        <v>13</v>
      </c>
      <c r="B5" s="6">
        <v>69778044</v>
      </c>
      <c r="C5" s="15">
        <f t="shared" si="1"/>
        <v>0.29994978730758748</v>
      </c>
      <c r="D5" s="6">
        <v>55663715</v>
      </c>
      <c r="E5" s="15">
        <f t="shared" si="2"/>
        <v>0.23927755090125724</v>
      </c>
      <c r="F5" s="6">
        <v>49696480</v>
      </c>
      <c r="G5" s="15">
        <f t="shared" si="3"/>
        <v>0.21362663312740288</v>
      </c>
      <c r="H5" s="6">
        <f t="shared" si="0"/>
        <v>57494178</v>
      </c>
      <c r="I5" s="15">
        <f t="shared" si="4"/>
        <v>0.2471460286637524</v>
      </c>
      <c r="J5" s="6">
        <v>232632417</v>
      </c>
    </row>
    <row r="6" spans="1:11" x14ac:dyDescent="0.2">
      <c r="A6" s="1" t="s">
        <v>14</v>
      </c>
      <c r="B6" s="6">
        <v>60541773</v>
      </c>
      <c r="C6" s="15">
        <f t="shared" si="1"/>
        <v>0.24831000032102171</v>
      </c>
      <c r="D6" s="6">
        <v>62997733</v>
      </c>
      <c r="E6" s="15">
        <f t="shared" si="2"/>
        <v>0.25838303581650374</v>
      </c>
      <c r="F6" s="6">
        <v>59485450</v>
      </c>
      <c r="G6" s="15">
        <f t="shared" si="3"/>
        <v>0.24397752785661103</v>
      </c>
      <c r="H6" s="6">
        <f t="shared" si="0"/>
        <v>60790327</v>
      </c>
      <c r="I6" s="15">
        <f t="shared" si="4"/>
        <v>0.24932943600586349</v>
      </c>
      <c r="J6" s="6">
        <v>243815283</v>
      </c>
    </row>
    <row r="7" spans="1:11" x14ac:dyDescent="0.2">
      <c r="A7" s="1" t="s">
        <v>15</v>
      </c>
      <c r="B7" s="6">
        <v>65684149</v>
      </c>
      <c r="C7" s="15">
        <f t="shared" si="1"/>
        <v>0.27195467709456989</v>
      </c>
      <c r="D7" s="6">
        <v>62163970</v>
      </c>
      <c r="E7" s="15">
        <f t="shared" si="2"/>
        <v>0.25737994090882615</v>
      </c>
      <c r="F7" s="6">
        <v>50705254</v>
      </c>
      <c r="G7" s="15">
        <f t="shared" si="3"/>
        <v>0.20993696635345233</v>
      </c>
      <c r="H7" s="6">
        <f t="shared" si="0"/>
        <v>62972714</v>
      </c>
      <c r="I7" s="15">
        <f t="shared" si="4"/>
        <v>0.26072841564315163</v>
      </c>
      <c r="J7" s="6">
        <v>241526087</v>
      </c>
    </row>
    <row r="8" spans="1:11" x14ac:dyDescent="0.2">
      <c r="A8" s="1" t="s">
        <v>16</v>
      </c>
      <c r="B8" s="6">
        <v>70304649</v>
      </c>
      <c r="C8" s="15">
        <f t="shared" si="1"/>
        <v>0.28335661459811234</v>
      </c>
      <c r="D8" s="6">
        <v>52279176</v>
      </c>
      <c r="E8" s="15">
        <f t="shared" si="2"/>
        <v>0.21070655406214864</v>
      </c>
      <c r="F8" s="6">
        <v>48849750</v>
      </c>
      <c r="G8" s="15">
        <f t="shared" si="3"/>
        <v>0.1968845585725652</v>
      </c>
      <c r="H8" s="6">
        <f t="shared" si="0"/>
        <v>76680093</v>
      </c>
      <c r="I8" s="15">
        <f t="shared" si="4"/>
        <v>0.30905227276717379</v>
      </c>
      <c r="J8" s="6">
        <v>248113668</v>
      </c>
    </row>
    <row r="9" spans="1:11" x14ac:dyDescent="0.2">
      <c r="A9" s="1" t="s">
        <v>17</v>
      </c>
      <c r="B9" s="6">
        <v>67218999</v>
      </c>
      <c r="C9" s="15">
        <f t="shared" si="1"/>
        <v>0.28793317572019811</v>
      </c>
      <c r="D9" s="6">
        <v>53283077</v>
      </c>
      <c r="E9" s="15">
        <f t="shared" si="2"/>
        <v>0.22823853078731277</v>
      </c>
      <c r="F9" s="6">
        <v>45259689</v>
      </c>
      <c r="G9" s="15">
        <f t="shared" si="3"/>
        <v>0.19387027744757873</v>
      </c>
      <c r="H9" s="6">
        <f t="shared" si="0"/>
        <v>67691705</v>
      </c>
      <c r="I9" s="15">
        <f t="shared" si="4"/>
        <v>0.28995801604491034</v>
      </c>
      <c r="J9" s="6">
        <v>233453470</v>
      </c>
    </row>
    <row r="10" spans="1:11" x14ac:dyDescent="0.2">
      <c r="A10" s="1" t="s">
        <v>18</v>
      </c>
      <c r="B10" s="6">
        <v>54237149</v>
      </c>
      <c r="C10" s="15">
        <f t="shared" si="1"/>
        <v>0.22961031831907303</v>
      </c>
      <c r="D10" s="6">
        <v>61155095</v>
      </c>
      <c r="E10" s="15">
        <f t="shared" si="2"/>
        <v>0.25889710445110509</v>
      </c>
      <c r="F10" s="6">
        <v>59334865</v>
      </c>
      <c r="G10" s="15">
        <f t="shared" si="3"/>
        <v>0.25119124974782919</v>
      </c>
      <c r="H10" s="6">
        <f t="shared" si="0"/>
        <v>61486792</v>
      </c>
      <c r="I10" s="15">
        <f t="shared" si="4"/>
        <v>0.26030132748199269</v>
      </c>
      <c r="J10" s="6">
        <v>236213901</v>
      </c>
    </row>
    <row r="11" spans="1:11" x14ac:dyDescent="0.2">
      <c r="A11" s="1" t="s">
        <v>19</v>
      </c>
      <c r="B11" s="6">
        <v>67285880</v>
      </c>
      <c r="C11" s="15">
        <f t="shared" si="1"/>
        <v>0.28588660511030928</v>
      </c>
      <c r="D11" s="6">
        <v>58040990</v>
      </c>
      <c r="E11" s="15">
        <f t="shared" si="2"/>
        <v>0.24660659247291425</v>
      </c>
      <c r="F11" s="6">
        <v>52063276</v>
      </c>
      <c r="G11" s="15">
        <f t="shared" si="3"/>
        <v>0.22120827172894289</v>
      </c>
      <c r="H11" s="6">
        <f t="shared" si="0"/>
        <v>57968485</v>
      </c>
      <c r="I11" s="15">
        <f t="shared" si="4"/>
        <v>0.24629853068783358</v>
      </c>
      <c r="J11" s="6">
        <v>235358631</v>
      </c>
    </row>
    <row r="12" spans="1:11" x14ac:dyDescent="0.2">
      <c r="A12" s="1" t="s">
        <v>20</v>
      </c>
      <c r="B12" s="6">
        <v>48432669</v>
      </c>
      <c r="C12" s="15">
        <f t="shared" si="1"/>
        <v>0.2322522763880536</v>
      </c>
      <c r="D12" s="6">
        <v>50798216</v>
      </c>
      <c r="E12" s="15">
        <f t="shared" si="2"/>
        <v>0.2435959352653484</v>
      </c>
      <c r="F12" s="6">
        <v>42907787</v>
      </c>
      <c r="G12" s="15">
        <f t="shared" si="3"/>
        <v>0.2057584562503407</v>
      </c>
      <c r="H12" s="6">
        <f t="shared" si="0"/>
        <v>66396072</v>
      </c>
      <c r="I12" s="15">
        <f t="shared" si="4"/>
        <v>0.31839333209625731</v>
      </c>
      <c r="J12" s="6">
        <v>208534744</v>
      </c>
    </row>
    <row r="13" spans="1:11" x14ac:dyDescent="0.2">
      <c r="A13" s="1" t="s">
        <v>21</v>
      </c>
      <c r="B13" s="6">
        <v>51460291</v>
      </c>
      <c r="C13" s="15">
        <f t="shared" si="1"/>
        <v>0.23276033635044385</v>
      </c>
      <c r="D13" s="6">
        <v>44691807</v>
      </c>
      <c r="E13" s="15">
        <f t="shared" si="2"/>
        <v>0.20214576768384621</v>
      </c>
      <c r="F13" s="6">
        <v>45325570</v>
      </c>
      <c r="G13" s="15">
        <f t="shared" si="3"/>
        <v>0.20501234473150545</v>
      </c>
      <c r="H13" s="6">
        <f t="shared" si="0"/>
        <v>79609360</v>
      </c>
      <c r="I13" s="15">
        <f t="shared" si="4"/>
        <v>0.36008155123420449</v>
      </c>
      <c r="J13" s="6">
        <v>221087028</v>
      </c>
    </row>
    <row r="14" spans="1:11" x14ac:dyDescent="0.2">
      <c r="A14" s="1" t="s">
        <v>22</v>
      </c>
      <c r="B14" s="6">
        <v>71753515</v>
      </c>
      <c r="C14" s="15">
        <f t="shared" si="1"/>
        <v>0.33491882282832286</v>
      </c>
      <c r="D14" s="6">
        <v>44905321</v>
      </c>
      <c r="E14" s="15">
        <f t="shared" si="2"/>
        <v>0.20960140068466282</v>
      </c>
      <c r="F14" s="6">
        <v>46720844</v>
      </c>
      <c r="G14" s="15">
        <f t="shared" si="3"/>
        <v>0.21807558938437663</v>
      </c>
      <c r="H14" s="6">
        <f t="shared" si="0"/>
        <v>50861832</v>
      </c>
      <c r="I14" s="15">
        <f t="shared" si="4"/>
        <v>0.23740418710263769</v>
      </c>
      <c r="J14" s="6">
        <v>214241512</v>
      </c>
    </row>
    <row r="15" spans="1:11" x14ac:dyDescent="0.2">
      <c r="A15" s="1" t="s">
        <v>23</v>
      </c>
      <c r="B15" s="6">
        <v>70589460</v>
      </c>
      <c r="C15" s="15">
        <f t="shared" si="1"/>
        <v>0.30511593474129256</v>
      </c>
      <c r="D15" s="6">
        <v>56102140</v>
      </c>
      <c r="E15" s="15">
        <f t="shared" si="2"/>
        <v>0.24249593192931151</v>
      </c>
      <c r="F15" s="6">
        <v>52435049</v>
      </c>
      <c r="G15" s="15">
        <f t="shared" si="3"/>
        <v>0.22664529504603773</v>
      </c>
      <c r="H15" s="6">
        <f t="shared" si="0"/>
        <v>52226263</v>
      </c>
      <c r="I15" s="15">
        <f t="shared" si="4"/>
        <v>0.2257428382833582</v>
      </c>
      <c r="J15" s="6">
        <v>231352912</v>
      </c>
    </row>
    <row r="16" spans="1:11" x14ac:dyDescent="0.2">
      <c r="A16" s="1" t="s">
        <v>24</v>
      </c>
      <c r="B16" s="6">
        <v>63942792</v>
      </c>
      <c r="C16" s="15">
        <f t="shared" si="1"/>
        <v>0.27819938788104215</v>
      </c>
      <c r="D16" s="6">
        <v>59889246</v>
      </c>
      <c r="E16" s="15">
        <f t="shared" si="2"/>
        <v>0.26056340451723087</v>
      </c>
      <c r="F16" s="6">
        <v>53613096</v>
      </c>
      <c r="G16" s="15">
        <f t="shared" si="3"/>
        <v>0.23325741687362589</v>
      </c>
      <c r="H16" s="6">
        <f t="shared" si="0"/>
        <v>52400059</v>
      </c>
      <c r="I16" s="15">
        <f t="shared" si="4"/>
        <v>0.22797979072810107</v>
      </c>
      <c r="J16" s="6">
        <v>229845193</v>
      </c>
    </row>
    <row r="17" spans="1:10" x14ac:dyDescent="0.2">
      <c r="A17" s="1" t="s">
        <v>25</v>
      </c>
      <c r="B17" s="6">
        <v>56346911</v>
      </c>
      <c r="C17" s="15">
        <f t="shared" si="1"/>
        <v>0.25449273977772069</v>
      </c>
      <c r="D17" s="6">
        <v>50558381</v>
      </c>
      <c r="E17" s="15">
        <f t="shared" si="2"/>
        <v>0.22834864717634401</v>
      </c>
      <c r="F17" s="6">
        <v>53344904</v>
      </c>
      <c r="G17" s="15">
        <f t="shared" si="3"/>
        <v>0.2409340730699415</v>
      </c>
      <c r="H17" s="6">
        <f t="shared" si="0"/>
        <v>61158521</v>
      </c>
      <c r="I17" s="15">
        <f t="shared" si="4"/>
        <v>0.27622453997599383</v>
      </c>
      <c r="J17" s="6">
        <v>221408717</v>
      </c>
    </row>
    <row r="18" spans="1:10" x14ac:dyDescent="0.2">
      <c r="A18" s="1" t="s">
        <v>26</v>
      </c>
      <c r="B18" s="6">
        <v>68106266</v>
      </c>
      <c r="C18" s="15">
        <f t="shared" si="1"/>
        <v>0.26848482050994943</v>
      </c>
      <c r="D18" s="6">
        <v>65203042</v>
      </c>
      <c r="E18" s="15">
        <f t="shared" si="2"/>
        <v>0.25703988863627752</v>
      </c>
      <c r="F18" s="6">
        <v>57451026</v>
      </c>
      <c r="G18" s="15">
        <f t="shared" si="3"/>
        <v>0.22648031245351841</v>
      </c>
      <c r="H18" s="6">
        <f t="shared" si="0"/>
        <v>62908629</v>
      </c>
      <c r="I18" s="15">
        <f t="shared" si="4"/>
        <v>0.24799497840025467</v>
      </c>
      <c r="J18" s="6">
        <v>253668963</v>
      </c>
    </row>
    <row r="19" spans="1:10" x14ac:dyDescent="0.2">
      <c r="A19" s="1" t="s">
        <v>27</v>
      </c>
      <c r="B19" s="6">
        <v>62356488</v>
      </c>
      <c r="C19" s="15">
        <f t="shared" si="1"/>
        <v>0.26263802287495425</v>
      </c>
      <c r="D19" s="6">
        <v>64675728</v>
      </c>
      <c r="E19" s="15">
        <f t="shared" si="2"/>
        <v>0.27240638263524908</v>
      </c>
      <c r="F19" s="6">
        <v>48028191</v>
      </c>
      <c r="G19" s="15">
        <f t="shared" si="3"/>
        <v>0.20228896031637753</v>
      </c>
      <c r="H19" s="6">
        <f t="shared" si="0"/>
        <v>62363281</v>
      </c>
      <c r="I19" s="15">
        <f t="shared" si="4"/>
        <v>0.26266663417341912</v>
      </c>
      <c r="J19" s="6">
        <v>237423688</v>
      </c>
    </row>
    <row r="20" spans="1:10" x14ac:dyDescent="0.2">
      <c r="A20" s="1" t="s">
        <v>28</v>
      </c>
      <c r="B20" s="6">
        <v>52235863</v>
      </c>
      <c r="C20" s="15">
        <f t="shared" si="1"/>
        <v>0.23070450187432442</v>
      </c>
      <c r="D20" s="6">
        <v>44304716</v>
      </c>
      <c r="E20" s="15">
        <f t="shared" si="2"/>
        <v>0.19567586038472096</v>
      </c>
      <c r="F20" s="6">
        <v>58909693</v>
      </c>
      <c r="G20" s="15">
        <f t="shared" si="3"/>
        <v>0.26018008698610717</v>
      </c>
      <c r="H20" s="6">
        <f t="shared" si="0"/>
        <v>70968643</v>
      </c>
      <c r="I20" s="15">
        <f t="shared" si="4"/>
        <v>0.31343955075484747</v>
      </c>
      <c r="J20" s="6">
        <v>226418915</v>
      </c>
    </row>
    <row r="21" spans="1:10" x14ac:dyDescent="0.2">
      <c r="A21" s="1" t="s">
        <v>29</v>
      </c>
      <c r="B21" s="6">
        <v>66380720</v>
      </c>
      <c r="C21" s="15">
        <f t="shared" si="1"/>
        <v>0.28120213158053986</v>
      </c>
      <c r="D21" s="6">
        <v>45998136</v>
      </c>
      <c r="E21" s="15">
        <f t="shared" si="2"/>
        <v>0.19485739069916033</v>
      </c>
      <c r="F21" s="6">
        <v>59734022</v>
      </c>
      <c r="G21" s="15">
        <f t="shared" si="3"/>
        <v>0.25304537694497531</v>
      </c>
      <c r="H21" s="6">
        <f t="shared" si="0"/>
        <v>63947637</v>
      </c>
      <c r="I21" s="15">
        <f t="shared" si="4"/>
        <v>0.27089510077532447</v>
      </c>
      <c r="J21" s="6">
        <v>236060515</v>
      </c>
    </row>
    <row r="22" spans="1:10" x14ac:dyDescent="0.2">
      <c r="A22" s="1" t="s">
        <v>30</v>
      </c>
      <c r="B22" s="6">
        <v>49269349</v>
      </c>
      <c r="C22" s="15">
        <f t="shared" si="1"/>
        <v>0.253604360347846</v>
      </c>
      <c r="D22" s="6">
        <v>45935093</v>
      </c>
      <c r="E22" s="15">
        <f t="shared" si="2"/>
        <v>0.23644192818102425</v>
      </c>
      <c r="F22" s="6">
        <v>43291366</v>
      </c>
      <c r="G22" s="15">
        <f t="shared" si="3"/>
        <v>0.22283385930296112</v>
      </c>
      <c r="H22" s="6">
        <f t="shared" si="0"/>
        <v>55780619</v>
      </c>
      <c r="I22" s="15">
        <f t="shared" si="4"/>
        <v>0.2871198521681686</v>
      </c>
      <c r="J22" s="6">
        <v>194276427</v>
      </c>
    </row>
    <row r="23" spans="1:10" x14ac:dyDescent="0.2">
      <c r="A23" s="1" t="s">
        <v>31</v>
      </c>
      <c r="B23" s="6">
        <v>71198544</v>
      </c>
      <c r="C23" s="15">
        <f t="shared" si="1"/>
        <v>0.29720427702230806</v>
      </c>
      <c r="D23" s="6">
        <v>55184360</v>
      </c>
      <c r="E23" s="15">
        <f t="shared" si="2"/>
        <v>0.23035622493542532</v>
      </c>
      <c r="F23" s="6">
        <v>58019096</v>
      </c>
      <c r="G23" s="15">
        <f t="shared" si="3"/>
        <v>0.24218927117621794</v>
      </c>
      <c r="H23" s="6">
        <f t="shared" si="0"/>
        <v>55158967</v>
      </c>
      <c r="I23" s="15">
        <f t="shared" si="4"/>
        <v>0.23025022686604868</v>
      </c>
      <c r="J23" s="6">
        <v>239560967</v>
      </c>
    </row>
    <row r="24" spans="1:10" x14ac:dyDescent="0.2">
      <c r="A24" s="1" t="s">
        <v>32</v>
      </c>
      <c r="B24" s="6">
        <v>50270440</v>
      </c>
      <c r="C24" s="15">
        <f t="shared" si="1"/>
        <v>0.22003545380494785</v>
      </c>
      <c r="D24" s="6">
        <v>57225074</v>
      </c>
      <c r="E24" s="15">
        <f t="shared" si="2"/>
        <v>0.25047612725513685</v>
      </c>
      <c r="F24" s="6">
        <v>47556652</v>
      </c>
      <c r="G24" s="15">
        <f t="shared" si="3"/>
        <v>0.20815710990920272</v>
      </c>
      <c r="H24" s="6">
        <f t="shared" si="0"/>
        <v>73413016</v>
      </c>
      <c r="I24" s="15">
        <f t="shared" si="4"/>
        <v>0.32133130903071261</v>
      </c>
      <c r="J24" s="6">
        <v>228465182</v>
      </c>
    </row>
    <row r="25" spans="1:10" x14ac:dyDescent="0.2">
      <c r="A25" s="1" t="s">
        <v>33</v>
      </c>
      <c r="B25" s="6">
        <v>50386682</v>
      </c>
      <c r="C25" s="15">
        <f t="shared" si="1"/>
        <v>0.211239660056909</v>
      </c>
      <c r="D25" s="6">
        <v>57962775</v>
      </c>
      <c r="E25" s="15">
        <f t="shared" si="2"/>
        <v>0.24300145198993464</v>
      </c>
      <c r="F25" s="6">
        <v>54330746</v>
      </c>
      <c r="G25" s="15">
        <f t="shared" si="3"/>
        <v>0.227774639252457</v>
      </c>
      <c r="H25" s="6">
        <f t="shared" si="0"/>
        <v>75848310</v>
      </c>
      <c r="I25" s="15">
        <f t="shared" si="4"/>
        <v>0.31798424870069936</v>
      </c>
      <c r="J25" s="6">
        <v>238528513</v>
      </c>
    </row>
    <row r="26" spans="1:10" x14ac:dyDescent="0.2">
      <c r="A26" s="1" t="s">
        <v>34</v>
      </c>
      <c r="B26" s="6">
        <v>68338108</v>
      </c>
      <c r="C26" s="15">
        <f t="shared" si="1"/>
        <v>0.31472169491600044</v>
      </c>
      <c r="D26" s="6">
        <v>56744025</v>
      </c>
      <c r="E26" s="15">
        <f t="shared" si="2"/>
        <v>0.26132675087164986</v>
      </c>
      <c r="F26" s="6">
        <v>44380186</v>
      </c>
      <c r="G26" s="15">
        <f t="shared" si="3"/>
        <v>0.20438680214277158</v>
      </c>
      <c r="H26" s="6">
        <f t="shared" si="0"/>
        <v>47675899</v>
      </c>
      <c r="I26" s="15">
        <f t="shared" si="4"/>
        <v>0.2195647520695781</v>
      </c>
      <c r="J26" s="6">
        <v>217138218</v>
      </c>
    </row>
    <row r="27" spans="1:10" x14ac:dyDescent="0.2">
      <c r="A27" s="1" t="s">
        <v>35</v>
      </c>
      <c r="B27" s="6">
        <v>53784043</v>
      </c>
      <c r="C27" s="15">
        <f t="shared" si="1"/>
        <v>0.27144455434985965</v>
      </c>
      <c r="D27" s="6">
        <v>54199441</v>
      </c>
      <c r="E27" s="15">
        <f t="shared" si="2"/>
        <v>0.27354104094139059</v>
      </c>
      <c r="F27" s="6">
        <v>40707225</v>
      </c>
      <c r="G27" s="15">
        <f t="shared" si="3"/>
        <v>0.20544670747315272</v>
      </c>
      <c r="H27" s="6">
        <f t="shared" si="0"/>
        <v>49449361</v>
      </c>
      <c r="I27" s="15">
        <f t="shared" si="4"/>
        <v>0.24956769723559702</v>
      </c>
      <c r="J27" s="6">
        <v>198140070</v>
      </c>
    </row>
    <row r="28" spans="1:10" x14ac:dyDescent="0.2">
      <c r="A28" s="1" t="s">
        <v>36</v>
      </c>
      <c r="B28" s="6">
        <v>70402668</v>
      </c>
      <c r="C28" s="15">
        <f t="shared" si="1"/>
        <v>0.3131018053388559</v>
      </c>
      <c r="D28" s="6">
        <v>47878692</v>
      </c>
      <c r="E28" s="15">
        <f t="shared" si="2"/>
        <v>0.21293092049385171</v>
      </c>
      <c r="F28" s="6">
        <v>55518161</v>
      </c>
      <c r="G28" s="15">
        <f t="shared" si="3"/>
        <v>0.24690593314152898</v>
      </c>
      <c r="H28" s="6">
        <f t="shared" si="0"/>
        <v>51055995</v>
      </c>
      <c r="I28" s="15">
        <f t="shared" si="4"/>
        <v>0.22706134102576342</v>
      </c>
      <c r="J28" s="6">
        <v>224855516</v>
      </c>
    </row>
    <row r="29" spans="1:10" x14ac:dyDescent="0.2">
      <c r="A29" s="1" t="s">
        <v>37</v>
      </c>
      <c r="B29" s="6">
        <v>67363357</v>
      </c>
      <c r="C29" s="15">
        <f t="shared" si="1"/>
        <v>0.30515595865663542</v>
      </c>
      <c r="D29" s="6">
        <v>46200559</v>
      </c>
      <c r="E29" s="15">
        <f t="shared" si="2"/>
        <v>0.20928849897010693</v>
      </c>
      <c r="F29" s="6">
        <v>48497167</v>
      </c>
      <c r="G29" s="15">
        <f t="shared" si="3"/>
        <v>0.21969213155478495</v>
      </c>
      <c r="H29" s="6">
        <f t="shared" si="0"/>
        <v>58689504</v>
      </c>
      <c r="I29" s="15">
        <f t="shared" si="4"/>
        <v>0.2658634108184727</v>
      </c>
      <c r="J29" s="6">
        <v>220750587</v>
      </c>
    </row>
    <row r="30" spans="1:10" x14ac:dyDescent="0.2">
      <c r="A30" s="1" t="s">
        <v>38</v>
      </c>
      <c r="B30" s="6">
        <v>52281927</v>
      </c>
      <c r="C30" s="15">
        <f t="shared" si="1"/>
        <v>0.22149934387050932</v>
      </c>
      <c r="D30" s="6">
        <v>65950127</v>
      </c>
      <c r="E30" s="15">
        <f t="shared" si="2"/>
        <v>0.27940649277668667</v>
      </c>
      <c r="F30" s="6">
        <v>57648211</v>
      </c>
      <c r="G30" s="15">
        <f t="shared" si="3"/>
        <v>0.24423432043368787</v>
      </c>
      <c r="H30" s="6">
        <f t="shared" si="0"/>
        <v>60156222</v>
      </c>
      <c r="I30" s="15">
        <f t="shared" si="4"/>
        <v>0.25485984291911612</v>
      </c>
      <c r="J30" s="6">
        <v>236036487</v>
      </c>
    </row>
    <row r="31" spans="1:10" x14ac:dyDescent="0.2">
      <c r="A31" s="1" t="s">
        <v>39</v>
      </c>
      <c r="B31" s="6">
        <v>54032010</v>
      </c>
      <c r="C31" s="15">
        <f t="shared" si="1"/>
        <v>0.2268765069059471</v>
      </c>
      <c r="D31" s="6">
        <v>56928405</v>
      </c>
      <c r="E31" s="15">
        <f t="shared" si="2"/>
        <v>0.23903826028546882</v>
      </c>
      <c r="F31" s="6">
        <v>59252918</v>
      </c>
      <c r="G31" s="15">
        <f t="shared" si="3"/>
        <v>0.24879872245775267</v>
      </c>
      <c r="H31" s="6">
        <f t="shared" si="0"/>
        <v>67942705</v>
      </c>
      <c r="I31" s="15">
        <f t="shared" si="4"/>
        <v>0.28528651035083141</v>
      </c>
      <c r="J31" s="6">
        <v>238156038</v>
      </c>
    </row>
    <row r="32" spans="1:10" x14ac:dyDescent="0.2">
      <c r="A32" s="1" t="s">
        <v>40</v>
      </c>
      <c r="B32" s="6">
        <v>62510958</v>
      </c>
      <c r="C32" s="15">
        <f t="shared" si="1"/>
        <v>0.27290643545161886</v>
      </c>
      <c r="D32" s="6">
        <v>46651403</v>
      </c>
      <c r="E32" s="15">
        <f t="shared" si="2"/>
        <v>0.20366778096005117</v>
      </c>
      <c r="F32" s="6">
        <v>42832138</v>
      </c>
      <c r="G32" s="15">
        <f t="shared" si="3"/>
        <v>0.18699387240796778</v>
      </c>
      <c r="H32" s="6">
        <f t="shared" si="0"/>
        <v>77061873</v>
      </c>
      <c r="I32" s="15">
        <f t="shared" si="4"/>
        <v>0.3364319111803622</v>
      </c>
      <c r="J32" s="6">
        <v>229056372</v>
      </c>
    </row>
    <row r="33" spans="1:10" x14ac:dyDescent="0.2">
      <c r="A33" s="1" t="s">
        <v>41</v>
      </c>
      <c r="B33" s="6">
        <v>57703932</v>
      </c>
      <c r="C33" s="15">
        <f t="shared" si="1"/>
        <v>0.25649020117956028</v>
      </c>
      <c r="D33" s="6">
        <v>48897263</v>
      </c>
      <c r="E33" s="15">
        <f t="shared" si="2"/>
        <v>0.21734513384633597</v>
      </c>
      <c r="F33" s="6">
        <v>58882666</v>
      </c>
      <c r="G33" s="15">
        <f t="shared" si="3"/>
        <v>0.26172959666472734</v>
      </c>
      <c r="H33" s="6">
        <f t="shared" si="0"/>
        <v>59491330</v>
      </c>
      <c r="I33" s="15">
        <f t="shared" si="4"/>
        <v>0.26443506830937641</v>
      </c>
      <c r="J33" s="6">
        <v>224975191</v>
      </c>
    </row>
    <row r="34" spans="1:10" x14ac:dyDescent="0.2">
      <c r="A34" s="1" t="s">
        <v>42</v>
      </c>
      <c r="B34" s="6">
        <v>49613463</v>
      </c>
      <c r="C34" s="15">
        <f t="shared" si="1"/>
        <v>0.22939833907960491</v>
      </c>
      <c r="D34" s="6">
        <v>51367687</v>
      </c>
      <c r="E34" s="15">
        <f t="shared" si="2"/>
        <v>0.23750936474966508</v>
      </c>
      <c r="F34" s="6">
        <v>53533374</v>
      </c>
      <c r="G34" s="15">
        <f t="shared" si="3"/>
        <v>0.24752287662176103</v>
      </c>
      <c r="H34" s="6">
        <f t="shared" si="0"/>
        <v>61761946</v>
      </c>
      <c r="I34" s="15">
        <f t="shared" si="4"/>
        <v>0.28556941954896897</v>
      </c>
      <c r="J34" s="6">
        <v>216276470</v>
      </c>
    </row>
    <row r="35" spans="1:10" x14ac:dyDescent="0.2">
      <c r="A35" s="1" t="s">
        <v>43</v>
      </c>
      <c r="B35" s="6">
        <v>50022112</v>
      </c>
      <c r="C35" s="15">
        <f t="shared" si="1"/>
        <v>0.24047375810631441</v>
      </c>
      <c r="D35" s="6">
        <v>47823406</v>
      </c>
      <c r="E35" s="15">
        <f t="shared" si="2"/>
        <v>0.22990381066405322</v>
      </c>
      <c r="F35" s="6">
        <v>53880602</v>
      </c>
      <c r="G35" s="15">
        <f t="shared" si="3"/>
        <v>0.25902286676681302</v>
      </c>
      <c r="H35" s="6">
        <f t="shared" si="0"/>
        <v>56288727</v>
      </c>
      <c r="I35" s="15">
        <f t="shared" si="4"/>
        <v>0.27059956446281935</v>
      </c>
      <c r="J35" s="6">
        <v>208014847</v>
      </c>
    </row>
    <row r="36" spans="1:10" x14ac:dyDescent="0.2">
      <c r="A36" s="1" t="s">
        <v>44</v>
      </c>
      <c r="B36" s="6">
        <v>50745814</v>
      </c>
      <c r="C36" s="15">
        <f t="shared" si="1"/>
        <v>0.2299570850182138</v>
      </c>
      <c r="D36" s="6">
        <v>53898529</v>
      </c>
      <c r="E36" s="15">
        <f t="shared" si="2"/>
        <v>0.24424376394099545</v>
      </c>
      <c r="F36" s="6">
        <v>47193027</v>
      </c>
      <c r="G36" s="15">
        <f t="shared" si="3"/>
        <v>0.213857460678547</v>
      </c>
      <c r="H36" s="6">
        <f t="shared" si="0"/>
        <v>68837779</v>
      </c>
      <c r="I36" s="15">
        <f t="shared" si="4"/>
        <v>0.31194169036224373</v>
      </c>
      <c r="J36" s="6">
        <v>220675149</v>
      </c>
    </row>
    <row r="37" spans="1:10" x14ac:dyDescent="0.2">
      <c r="A37" s="1" t="s">
        <v>45</v>
      </c>
      <c r="B37" s="6">
        <v>66110863</v>
      </c>
      <c r="C37" s="15">
        <f t="shared" si="1"/>
        <v>0.26596862032866375</v>
      </c>
      <c r="D37" s="6">
        <v>57916024</v>
      </c>
      <c r="E37" s="15">
        <f t="shared" si="2"/>
        <v>0.23300021054333803</v>
      </c>
      <c r="F37" s="6">
        <v>53418449</v>
      </c>
      <c r="G37" s="15">
        <f t="shared" si="3"/>
        <v>0.21490615211946465</v>
      </c>
      <c r="H37" s="6">
        <f t="shared" si="0"/>
        <v>71121066</v>
      </c>
      <c r="I37" s="15">
        <f t="shared" si="4"/>
        <v>0.2861250170085336</v>
      </c>
      <c r="J37" s="6">
        <v>248566402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6C2D-E321-0244-B1F7-7B3EDA9C92CD}">
  <dimension ref="A1:B2"/>
  <sheetViews>
    <sheetView workbookViewId="0">
      <selection activeCell="B2" sqref="B2"/>
    </sheetView>
  </sheetViews>
  <sheetFormatPr baseColWidth="10" defaultColWidth="11.5" defaultRowHeight="15" x14ac:dyDescent="0.2"/>
  <cols>
    <col min="2" max="2" width="20.6640625" customWidth="1"/>
  </cols>
  <sheetData>
    <row r="1" spans="1:2" x14ac:dyDescent="0.2">
      <c r="A1" s="3" t="s">
        <v>50</v>
      </c>
      <c r="B1" s="3" t="s">
        <v>51</v>
      </c>
    </row>
    <row r="2" spans="1:2" x14ac:dyDescent="0.2">
      <c r="A2" s="3">
        <v>2023</v>
      </c>
      <c r="B2" s="4">
        <v>22500000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878953011AB742BB85D11D65B7ED6E" ma:contentTypeVersion="12" ma:contentTypeDescription="Create a new document." ma:contentTypeScope="" ma:versionID="9ab69a50a6fdee7af820b2e7ec0a3da1">
  <xsd:schema xmlns:xsd="http://www.w3.org/2001/XMLSchema" xmlns:xs="http://www.w3.org/2001/XMLSchema" xmlns:p="http://schemas.microsoft.com/office/2006/metadata/properties" xmlns:ns2="dde329ac-4138-47ff-b841-03f185140262" xmlns:ns3="4a9721d0-a921-46a1-a3c7-cfad8c3470e4" targetNamespace="http://schemas.microsoft.com/office/2006/metadata/properties" ma:root="true" ma:fieldsID="63dbf577bad55905da96fd39bb48b362" ns2:_="" ns3:_="">
    <xsd:import namespace="dde329ac-4138-47ff-b841-03f185140262"/>
    <xsd:import namespace="4a9721d0-a921-46a1-a3c7-cfad8c3470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329ac-4138-47ff-b841-03f1851402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721730-ab05-49f9-8060-880bf1bda6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21d0-a921-46a1-a3c7-cfad8c3470e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092cb7-4f40-430d-a9fe-c1356fbdc8d0}" ma:internalName="TaxCatchAll" ma:showField="CatchAllData" ma:web="4a9721d0-a921-46a1-a3c7-cfad8c3470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e329ac-4138-47ff-b841-03f185140262">
      <Terms xmlns="http://schemas.microsoft.com/office/infopath/2007/PartnerControls"/>
    </lcf76f155ced4ddcb4097134ff3c332f>
    <TaxCatchAll xmlns="4a9721d0-a921-46a1-a3c7-cfad8c3470e4" xsi:nil="true"/>
  </documentManagement>
</p:properties>
</file>

<file path=customXml/itemProps1.xml><?xml version="1.0" encoding="utf-8"?>
<ds:datastoreItem xmlns:ds="http://schemas.openxmlformats.org/officeDocument/2006/customXml" ds:itemID="{0345EA16-131C-4BEC-822F-9A43CCEEED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950CFC-75FB-4764-B1CD-35A7F595CE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e329ac-4138-47ff-b841-03f185140262"/>
    <ds:schemaRef ds:uri="4a9721d0-a921-46a1-a3c7-cfad8c347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4791AE-EBB6-4FCA-A8F7-A7A88B1E32C9}">
  <ds:schemaRefs>
    <ds:schemaRef ds:uri="http://schemas.microsoft.com/office/2006/metadata/properties"/>
    <ds:schemaRef ds:uri="http://schemas.microsoft.com/office/infopath/2007/PartnerControls"/>
    <ds:schemaRef ds:uri="dde329ac-4138-47ff-b841-03f185140262"/>
    <ds:schemaRef ds:uri="4a9721d0-a921-46a1-a3c7-cfad8c3470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 calculations</vt:lpstr>
      <vt:lpstr>brand_pivot</vt:lpstr>
      <vt:lpstr>product_ad_spend</vt:lpstr>
      <vt:lpstr>Final Budget Allocation</vt:lpstr>
      <vt:lpstr>Market share calculations</vt:lpstr>
      <vt:lpstr>Market share</vt:lpstr>
      <vt:lpstr>Market data</vt:lpstr>
      <vt:lpstr>2023 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MCDOWALL, Shafel E</cp:lastModifiedBy>
  <cp:revision/>
  <dcterms:created xsi:type="dcterms:W3CDTF">2025-01-27T13:14:53Z</dcterms:created>
  <dcterms:modified xsi:type="dcterms:W3CDTF">2025-02-01T17:08:32Z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0x0101006C878953011AB742BB85D11D65B7ED6E</vt:lpwstr>
  </property>
  <property fmtid="{D5CDD505-2E9C-101B-9397-08002B2CF9AE}" pid="3" name="MediaServiceImageTags">
    <vt:lpwstr/>
  </property>
</Properties>
</file>